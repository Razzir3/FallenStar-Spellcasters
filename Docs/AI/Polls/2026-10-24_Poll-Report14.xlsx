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Lesson\FallenStar-Spellcasters\Docs\AI\Polls\"/>
    </mc:Choice>
  </mc:AlternateContent>
  <xr:revisionPtr revIDLastSave="0" documentId="13_ncr:1_{928AB9EB-6DD0-44E8-825B-918376D46CF3}" xr6:coauthVersionLast="47" xr6:coauthVersionMax="47" xr10:uidLastSave="{00000000-0000-0000-0000-000000000000}"/>
  <bookViews>
    <workbookView xWindow="4530" yWindow="2820" windowWidth="28800" windowHeight="17145" activeTab="2" xr2:uid="{00000000-000D-0000-FFFF-FFFF00000000}"/>
  </bookViews>
  <sheets>
    <sheet name="Read me" sheetId="1" r:id="rId1"/>
    <sheet name="Poll" sheetId="2" r:id="rId2"/>
    <sheet name="Priorit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C2" i="2"/>
  <c r="C2" i="3"/>
</calcChain>
</file>

<file path=xl/sharedStrings.xml><?xml version="1.0" encoding="utf-8"?>
<sst xmlns="http://schemas.openxmlformats.org/spreadsheetml/2006/main" count="194" uniqueCount="159">
  <si>
    <t>Priorities: feature gaps (not defects). Pre-filled with your 2026-10-23 ranking; change any of them.</t>
  </si>
  <si>
    <t>Answered:</t>
  </si>
  <si>
    <t>#</t>
  </si>
  <si>
    <t>Feature gap</t>
  </si>
  <si>
    <t>What it means today</t>
  </si>
  <si>
    <t>Size</t>
  </si>
  <si>
    <t>Your priority</t>
  </si>
  <si>
    <t>Your comment</t>
  </si>
  <si>
    <t>F1</t>
  </si>
  <si>
    <t>Messages on screen</t>
  </si>
  <si>
    <t>Lobby / network failures, ignored Send and Confirm Turn, deck refill, lost host (N59). → TASK-N59_N61_F1 (written).</t>
  </si>
  <si>
    <t>M</t>
  </si>
  <si>
    <t>Now</t>
  </si>
  <si>
    <t>F2</t>
  </si>
  <si>
    <t>More settings</t>
  </si>
  <si>
    <t>Audio, graphics quality, controls, UI scale.</t>
  </si>
  <si>
    <t>Later</t>
  </si>
  <si>
    <t>F3</t>
  </si>
  <si>
    <t>Steam login</t>
  </si>
  <si>
    <t>The LoginScene button exists; AuthManager.SignInSteam is a stub.</t>
  </si>
  <si>
    <t>L</t>
  </si>
  <si>
    <t>F4</t>
  </si>
  <si>
    <t>Draw phase on screen</t>
  </si>
  <si>
    <t>'Drawing cards' while cards are dealt. → TASK-F4_F6_N36 (written).</t>
  </si>
  <si>
    <t>S</t>
  </si>
  <si>
    <t>F5</t>
  </si>
  <si>
    <t>More card effects</t>
  </si>
  <si>
    <t>Discard and combo actions, All* / Random* targets, ActivityEffect. Needs your card designs (poll Q8).</t>
  </si>
  <si>
    <t>Next</t>
  </si>
  <si>
    <t>F6</t>
  </si>
  <si>
    <t>Blocks win rule</t>
  </si>
  <si>
    <t>Losing the last block loses the match at once. → TASK-F4_F6_N36 (written).</t>
  </si>
  <si>
    <t>F7</t>
  </si>
  <si>
    <t>Spectators</t>
  </si>
  <si>
    <t>SessionRole.Spectator exists, nothing assigns it; the scene supports two teams.</t>
  </si>
  <si>
    <t>F8</t>
  </si>
  <si>
    <t>Rejoin a running match</t>
  </si>
  <si>
    <t>Research RESEARCH-H6C exists; H6 chose the forfeit. Interacts with your planned Server + clients move.</t>
  </si>
  <si>
    <t>F9</t>
  </si>
  <si>
    <t>Big-card animation</t>
  </si>
  <si>
    <t>Your A8.2 idea: a short show/hide animation for the big card (poll Q8).</t>
  </si>
  <si>
    <t>F10</t>
  </si>
  <si>
    <t>Movement limit per turn</t>
  </si>
  <si>
    <t>Your idea: limit how many steps a player may move in each Player action.</t>
  </si>
  <si>
    <t>F11</t>
  </si>
  <si>
    <t>Player hints</t>
  </si>
  <si>
    <t>Your idea: show what to do next, e.g. which targets can be selected.</t>
  </si>
  <si>
    <t>F12</t>
  </si>
  <si>
    <t>Hint settings</t>
  </si>
  <si>
    <t>Your idea: a setting for how many hints to show (after F11).</t>
  </si>
  <si>
    <t>F13</t>
  </si>
  <si>
    <t>Audio and music</t>
  </si>
  <si>
    <t>Your idea: sound effects and background music (needs audio assets).</t>
  </si>
  <si>
    <t>F14</t>
  </si>
  <si>
    <t>Redraw GUI panels</t>
  </si>
  <si>
    <t>Your idea: new panel art. Your note: HP / Mana are hard to read over the lava (poll Q6 asks about a quick fix).</t>
  </si>
  <si>
    <t>Missing a feature? Add it in a new row.</t>
  </si>
  <si>
    <t>Poll: open questions after Issue Report #14</t>
  </si>
  <si>
    <t>What this is</t>
  </si>
  <si>
    <t>The second poll in this format (you chose it in P13 = a). Eight questions I need your answer to. The three new Codex tasks don't wait for them, except where a row says so. The Priorities sheet holds your 2026-10-23 ranking, with my size estimate for the five ideas you added. Change any rank you like.</t>
  </si>
  <si>
    <t>Source</t>
  </si>
  <si>
    <t>Docs/AI/Reports/2026-10-24_IssueReport-14.md: §2 (N61), §4 (your poll answers), §5 (the new tasks), §6 (all open issues), §8 (the clean-up that was blocked).</t>
  </si>
  <si>
    <t>How to answer</t>
  </si>
  <si>
    <t>1. Poll sheet: pick a letter in 'Your answer' (yellow). Each option says what I'll do if you pick it.
2. 'Other': write your own answer in 'Your comment'. Comments are always welcome, also next to a letter.
3. Priorities sheet: change Now / Next / Later / Never where you want; it's pre-filled with your last answers.
4. Answer some now and the rest later: the counter at the top of the Poll sheet shows what's still open.
5. Tell Claude 'poll done' (or answer in chat instead). I copy the answers into the next report.</t>
  </si>
  <si>
    <t>Legend</t>
  </si>
  <si>
    <t>Yellow cell</t>
  </si>
  <si>
    <t>Yours to fill in. It turns green once answered.</t>
  </si>
  <si>
    <t>★ and a green option cell</t>
  </si>
  <si>
    <t>My recommendation. It's only advice: the decision is yours.</t>
  </si>
  <si>
    <t>—</t>
  </si>
  <si>
    <t>No recommendation: a question only you can answer (for example, whether something is still parked).</t>
  </si>
  <si>
    <t>S / M / L</t>
  </si>
  <si>
    <t>Priorities sheet: my rough size of the work. S = a small task, M = one normal task, L = several tasks or a new system.</t>
  </si>
  <si>
    <t>Poll: open questions (Issue Report #14)</t>
  </si>
  <si>
    <t>Topic</t>
  </si>
  <si>
    <t>Issue</t>
  </si>
  <si>
    <t>Question</t>
  </si>
  <si>
    <t>Background</t>
  </si>
  <si>
    <t>Option a</t>
  </si>
  <si>
    <t>Option b</t>
  </si>
  <si>
    <t>Option c</t>
  </si>
  <si>
    <t>Option d</t>
  </si>
  <si>
    <t>My recommendation</t>
  </si>
  <si>
    <t>Your answer</t>
  </si>
  <si>
    <t>Q1</t>
  </si>
  <si>
    <t>Folders</t>
  </si>
  <si>
    <t>After I review a filled checklist and an answered poll, should I delete them in the same round?</t>
  </si>
  <si>
    <t>Report #13 removed the old checklists on your request. This round's checklist (2026-10-23) and the answered poll are committed (ff8a9dd), so git keeps them either way.</t>
  </si>
  <si>
    <t>★ a. Yes: delete both once their review is in the report.</t>
  </si>
  <si>
    <t>b. Keep the latest checklist and poll; delete older ones.</t>
  </si>
  <si>
    <t>c. Keep everything.</t>
  </si>
  <si>
    <t>a: the report carries every answer and result.</t>
  </si>
  <si>
    <t>Q2</t>
  </si>
  <si>
    <t>Old reports</t>
  </si>
  <si>
    <t>Keep only the newest issue report in Docs/AI/Reports?</t>
  </si>
  <si>
    <t>You chose P7 = a (delete #1–#12). Report #14 carries the full register again, so #13 is the only older one left.</t>
  </si>
  <si>
    <t>★ a. Yes: delete the previous report each time a new one is written.</t>
  </si>
  <si>
    <t>b. Keep the newest two.</t>
  </si>
  <si>
    <t>a: one place to read; git has the rest.</t>
  </si>
  <si>
    <t>Q3</t>
  </si>
  <si>
    <t>Host left</t>
  </si>
  <si>
    <t>N59</t>
  </si>
  <si>
    <t>The N59 message 'Connection to the host was lost.' also appears when the host leaves the LOBBY on purpose. Keep that text?</t>
  </si>
  <si>
    <t>The client can't tell a host who pressed Leave lobby from a crash or a network drop. Your P1 = c text is in TASK-N59_N61_F1. Codex can start either way: only the strings differ.</t>
  </si>
  <si>
    <t>★ a. Keep 'Connection to the host was lost.' for every case.</t>
  </si>
  <si>
    <t>b. Use 'The host left, or the connection was lost.'</t>
  </si>
  <si>
    <t>c. Other text (write it in the comment).</t>
  </si>
  <si>
    <t>a: true from the client's side, and short.</t>
  </si>
  <si>
    <t>Q4</t>
  </si>
  <si>
    <t>Clean-up</t>
  </si>
  <si>
    <t>My delete commands were blocked by Claude Code's safety check this round. How should clean-up work from now on?</t>
  </si>
  <si>
    <t>Blocked: the 3 finished specs, Codex's report, reports #1–#12 (all committed, so recoverable) and the build/ folders from P5/P6 (git-ignored, no undo). Report #14 §8 has the commands for you.</t>
  </si>
  <si>
    <t>a. You run the commands I give you each time.</t>
  </si>
  <si>
    <t>★ b. Allow me to delete committed files under Docs/AI only (a permission rule I set up when you say so); build/ stays with you.</t>
  </si>
  <si>
    <t>c. Allow both Docs/AI and build/.</t>
  </si>
  <si>
    <t>b: Docs/AI files are always in git, so a delete there can be undone; build/ can't.</t>
  </si>
  <si>
    <t>Q5</t>
  </si>
  <si>
    <t>Mane colour</t>
  </si>
  <si>
    <t>N27</t>
  </si>
  <si>
    <t>When the mane exists (GUIDE-N27), which colour should it get?</t>
  </si>
  <si>
    <t>Today's code gives the mane the same team material as the body (red / blue), so the mane would look like part of the body. A different colour needs 2 more materials and a small code change.</t>
  </si>
  <si>
    <t>a. Same colour as the body (no code change).</t>
  </si>
  <si>
    <t>b. A darker shade of the team colour.</t>
  </si>
  <si>
    <t>c. One fixed neutral colour (e.g. white) for both teams.</t>
  </si>
  <si>
    <t>— art decision</t>
  </si>
  <si>
    <t>Q6</t>
  </si>
  <si>
    <t>HUD readability</t>
  </si>
  <si>
    <t>You noted that HP, Mana and the other HUD texts are hard to read over the lava. Fix that part now?</t>
  </si>
  <si>
    <t>You ranked 'Redraw GUI panels' Later. A small fix exists: dark semi-transparent backing boxes behind the HP / Life / Mana texts, nothing else redrawn.</t>
  </si>
  <si>
    <t>★ a. Yes: a small task for the backing boxes now; the full redraw stays Later.</t>
  </si>
  <si>
    <t>b. No: wait for the full redraw.</t>
  </si>
  <si>
    <t>a: it fixes the readability you described for a small change.</t>
  </si>
  <si>
    <t>Q7</t>
  </si>
  <si>
    <t>Unknown U9</t>
  </si>
  <si>
    <t>U9</t>
  </si>
  <si>
    <t>U9 (an NGO NullReferenceException in NetworkSceneManager.Dispose on Play Mode stop) hasn't appeared in the 2026-10-22 or 2026-10-23 logs. Close it?</t>
  </si>
  <si>
    <t>It was inside NGO, not game code. Your H1.3 row passed with no note.</t>
  </si>
  <si>
    <t>★ a. Close it; reopen if it's seen again.</t>
  </si>
  <si>
    <t>b. Keep watching it in the checklists.</t>
  </si>
  <si>
    <t>a: two clean rounds.</t>
  </si>
  <si>
    <t>Q8</t>
  </si>
  <si>
    <t>Next work</t>
  </si>
  <si>
    <t>F5 / F9</t>
  </si>
  <si>
    <t>After the three new tasks: which of your 'Next' items first?</t>
  </si>
  <si>
    <t>F9 (big-card show/hide animation) is small. F5 (more card effects: discard, combos, All* / Random* targets, effects) is large and needs your card designs: which cards, values and targets.</t>
  </si>
  <si>
    <t>★ a. F9 first; send me the F5 card list when you have it.</t>
  </si>
  <si>
    <t>b. F5 first; I'll list the decisions it needs.</t>
  </si>
  <si>
    <t>c. Neither yet: something else (comment).</t>
  </si>
  <si>
    <t>a: a quick visible win while F5's design is open.</t>
  </si>
  <si>
    <t>a</t>
  </si>
  <si>
    <t>b</t>
  </si>
  <si>
    <t>d</t>
    <phoneticPr fontId="9"/>
  </si>
  <si>
    <t>Create the enum pool with 5 color, different from team color. Save this mane colors as separete material. Before first spawn of characters - select random unique color for each player. Don’t change it before match ends.</t>
    <phoneticPr fontId="9"/>
  </si>
  <si>
    <t>Simple animation will be fine. Like, at the start - changing alfa from 0 to max when show up by about 0.7 second, and disapere by changing alpha from max to zero by 0.6 sec. Animation time must have variables to change from editor.</t>
    <phoneticPr fontId="9"/>
  </si>
  <si>
    <t>Deck representation</t>
    <phoneticPr fontId="9"/>
  </si>
  <si>
    <t>Next</t>
    <phoneticPr fontId="9"/>
  </si>
  <si>
    <t>Make simple counter for both player to know, how much card still in the deck before new deck creation. (Maybe, not a counter itself, but one card fliped by backside and point-like counter when this card was clicked)</t>
    <phoneticPr fontId="9"/>
  </si>
  <si>
    <t>Hand representation</t>
    <phoneticPr fontId="9"/>
  </si>
  <si>
    <t>Make simple counter for both player to know, how much card still in the enemy's hand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</si>
</sst>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ＭＳ Ｐゴシック"/>
      <family val="2"/>
      <scheme val="minor"/>
    </font>
    <font>
      <b/>
      <sz val="16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9C5700"/>
      <name val="Arial"/>
      <family val="2"/>
    </font>
    <font>
      <b/>
      <sz val="10"/>
      <color rgb="FFFFFFFF"/>
      <name val="Arial"/>
      <family val="2"/>
    </font>
    <font>
      <i/>
      <sz val="10"/>
      <color rgb="FF000000"/>
      <name val="Arial"/>
      <family val="2"/>
    </font>
    <font>
      <sz val="6"/>
      <name val="ＭＳ Ｐゴシック"/>
      <family val="3"/>
      <charset val="128"/>
      <scheme val="minor"/>
    </font>
    <font>
      <b/>
      <sz val="1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2" fillId="0" borderId="0" xfId="0" applyFont="1"/>
    <xf numFmtId="0" fontId="6" fillId="0" borderId="0" xfId="0" applyFont="1"/>
    <xf numFmtId="0" fontId="7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0" fillId="5" borderId="1" xfId="0" applyFill="1" applyBorder="1"/>
    <xf numFmtId="0" fontId="0" fillId="4" borderId="1" xfId="0" applyFill="1" applyBorder="1" applyAlignment="1">
      <alignment vertical="top" wrapText="1"/>
    </xf>
    <xf numFmtId="0" fontId="0" fillId="4" borderId="0" xfId="0" applyFill="1" applyAlignment="1">
      <alignment vertical="top" wrapText="1"/>
    </xf>
    <xf numFmtId="0" fontId="10" fillId="0" borderId="0" xfId="0" applyFont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0" fillId="4" borderId="0" xfId="0" applyFill="1" applyBorder="1" applyAlignment="1">
      <alignment vertical="top" wrapText="1"/>
    </xf>
  </cellXfs>
  <cellStyles count="1">
    <cellStyle name="標準" xfId="0" builtinId="0"/>
  </cellStyles>
  <dxfs count="2"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3.5" x14ac:dyDescent="0.15"/>
  <cols>
    <col min="1" max="1" width="26" customWidth="1"/>
    <col min="2" max="2" width="105" customWidth="1"/>
  </cols>
  <sheetData>
    <row r="1" spans="1:2" ht="20.25" customHeight="1" x14ac:dyDescent="0.3">
      <c r="A1" s="1" t="s">
        <v>57</v>
      </c>
    </row>
    <row r="3" spans="1:2" ht="25.5" customHeight="1" x14ac:dyDescent="0.15">
      <c r="A3" s="2" t="s">
        <v>58</v>
      </c>
      <c r="B3" s="3" t="s">
        <v>59</v>
      </c>
    </row>
    <row r="4" spans="1:2" ht="25.5" x14ac:dyDescent="0.15">
      <c r="A4" s="2" t="s">
        <v>60</v>
      </c>
      <c r="B4" s="3" t="s">
        <v>61</v>
      </c>
    </row>
    <row r="5" spans="1:2" ht="63.75" customHeight="1" x14ac:dyDescent="0.15">
      <c r="A5" s="2" t="s">
        <v>62</v>
      </c>
      <c r="B5" s="3" t="s">
        <v>63</v>
      </c>
    </row>
    <row r="7" spans="1:2" ht="15.75" customHeight="1" x14ac:dyDescent="0.25">
      <c r="A7" s="4" t="s">
        <v>64</v>
      </c>
    </row>
    <row r="8" spans="1:2" x14ac:dyDescent="0.15">
      <c r="A8" s="2" t="s">
        <v>65</v>
      </c>
      <c r="B8" s="3" t="s">
        <v>66</v>
      </c>
    </row>
    <row r="9" spans="1:2" x14ac:dyDescent="0.15">
      <c r="A9" s="2" t="s">
        <v>67</v>
      </c>
      <c r="B9" s="3" t="s">
        <v>68</v>
      </c>
    </row>
    <row r="10" spans="1:2" x14ac:dyDescent="0.15">
      <c r="A10" s="2" t="s">
        <v>69</v>
      </c>
      <c r="B10" s="3" t="s">
        <v>70</v>
      </c>
    </row>
    <row r="11" spans="1:2" x14ac:dyDescent="0.15">
      <c r="A11" s="2" t="s">
        <v>71</v>
      </c>
      <c r="B11" s="3" t="s">
        <v>72</v>
      </c>
    </row>
  </sheetData>
  <phoneticPr fontId="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workbookViewId="0">
      <pane xSplit="4" ySplit="4" topLeftCell="H7" activePane="bottomRight" state="frozen"/>
      <selection pane="topRight"/>
      <selection pane="bottomLeft"/>
      <selection pane="bottomRight" activeCell="L15" sqref="L15"/>
    </sheetView>
  </sheetViews>
  <sheetFormatPr defaultRowHeight="13.5" x14ac:dyDescent="0.15"/>
  <cols>
    <col min="1" max="1" width="5" customWidth="1"/>
    <col min="2" max="2" width="15" customWidth="1"/>
    <col min="3" max="3" width="8" customWidth="1"/>
    <col min="4" max="4" width="38" customWidth="1"/>
    <col min="5" max="5" width="52" customWidth="1"/>
    <col min="6" max="8" width="30" customWidth="1"/>
    <col min="9" max="9" width="26" customWidth="1"/>
    <col min="10" max="10" width="30" customWidth="1"/>
    <col min="11" max="11" width="11" customWidth="1"/>
    <col min="12" max="12" width="40" customWidth="1"/>
  </cols>
  <sheetData>
    <row r="1" spans="1:12" ht="18" customHeight="1" x14ac:dyDescent="0.25">
      <c r="A1" s="5" t="s">
        <v>73</v>
      </c>
    </row>
    <row r="2" spans="1:12" ht="14.25" customHeight="1" x14ac:dyDescent="0.2">
      <c r="A2" s="6" t="s">
        <v>1</v>
      </c>
      <c r="C2" s="6" t="str">
        <f>COUNTA(K5:K12)&amp;" of 8"</f>
        <v>8 of 8</v>
      </c>
      <c r="D2" s="7" t="str">
        <f>IF(COUNTA(K5:K12)=8,"All answered. Tell Claude: poll done.","Still open: "&amp;(8-COUNTA(K5:K12)))</f>
        <v>All answered. Tell Claude: poll done.</v>
      </c>
    </row>
    <row r="4" spans="1:12" x14ac:dyDescent="0.15">
      <c r="A4" s="8" t="s">
        <v>2</v>
      </c>
      <c r="B4" s="8" t="s">
        <v>74</v>
      </c>
      <c r="C4" s="8" t="s">
        <v>75</v>
      </c>
      <c r="D4" s="8" t="s">
        <v>76</v>
      </c>
      <c r="E4" s="8" t="s">
        <v>77</v>
      </c>
      <c r="F4" s="8" t="s">
        <v>78</v>
      </c>
      <c r="G4" s="8" t="s">
        <v>79</v>
      </c>
      <c r="H4" s="8" t="s">
        <v>80</v>
      </c>
      <c r="I4" s="8" t="s">
        <v>81</v>
      </c>
      <c r="J4" s="8" t="s">
        <v>82</v>
      </c>
      <c r="K4" s="8" t="s">
        <v>83</v>
      </c>
      <c r="L4" s="8" t="s">
        <v>7</v>
      </c>
    </row>
    <row r="5" spans="1:12" ht="76.5" customHeight="1" x14ac:dyDescent="0.15">
      <c r="A5" s="9" t="s">
        <v>84</v>
      </c>
      <c r="B5" s="10" t="s">
        <v>85</v>
      </c>
      <c r="C5" s="10" t="s">
        <v>69</v>
      </c>
      <c r="D5" s="9" t="s">
        <v>86</v>
      </c>
      <c r="E5" s="10" t="s">
        <v>87</v>
      </c>
      <c r="F5" s="11" t="s">
        <v>88</v>
      </c>
      <c r="G5" s="10" t="s">
        <v>89</v>
      </c>
      <c r="H5" s="10" t="s">
        <v>90</v>
      </c>
      <c r="I5" s="10"/>
      <c r="J5" s="12" t="s">
        <v>91</v>
      </c>
      <c r="K5" s="13" t="s">
        <v>149</v>
      </c>
      <c r="L5" s="14"/>
    </row>
    <row r="6" spans="1:12" ht="76.5" customHeight="1" x14ac:dyDescent="0.15">
      <c r="A6" s="9" t="s">
        <v>92</v>
      </c>
      <c r="B6" s="10" t="s">
        <v>93</v>
      </c>
      <c r="C6" s="10" t="s">
        <v>69</v>
      </c>
      <c r="D6" s="9" t="s">
        <v>94</v>
      </c>
      <c r="E6" s="10" t="s">
        <v>95</v>
      </c>
      <c r="F6" s="11" t="s">
        <v>96</v>
      </c>
      <c r="G6" s="10" t="s">
        <v>97</v>
      </c>
      <c r="H6" s="10"/>
      <c r="I6" s="10"/>
      <c r="J6" s="12" t="s">
        <v>98</v>
      </c>
      <c r="K6" s="13" t="s">
        <v>149</v>
      </c>
      <c r="L6" s="14"/>
    </row>
    <row r="7" spans="1:12" ht="76.5" customHeight="1" x14ac:dyDescent="0.15">
      <c r="A7" s="9" t="s">
        <v>99</v>
      </c>
      <c r="B7" s="10" t="s">
        <v>100</v>
      </c>
      <c r="C7" s="10" t="s">
        <v>101</v>
      </c>
      <c r="D7" s="9" t="s">
        <v>102</v>
      </c>
      <c r="E7" s="10" t="s">
        <v>103</v>
      </c>
      <c r="F7" s="11" t="s">
        <v>104</v>
      </c>
      <c r="G7" s="10" t="s">
        <v>105</v>
      </c>
      <c r="H7" s="10" t="s">
        <v>106</v>
      </c>
      <c r="I7" s="10"/>
      <c r="J7" s="12" t="s">
        <v>107</v>
      </c>
      <c r="K7" s="13" t="s">
        <v>149</v>
      </c>
      <c r="L7" s="14"/>
    </row>
    <row r="8" spans="1:12" ht="76.5" customHeight="1" x14ac:dyDescent="0.15">
      <c r="A8" s="9" t="s">
        <v>108</v>
      </c>
      <c r="B8" s="10" t="s">
        <v>109</v>
      </c>
      <c r="C8" s="10" t="s">
        <v>69</v>
      </c>
      <c r="D8" s="9" t="s">
        <v>110</v>
      </c>
      <c r="E8" s="10" t="s">
        <v>111</v>
      </c>
      <c r="F8" s="10" t="s">
        <v>112</v>
      </c>
      <c r="G8" s="11" t="s">
        <v>113</v>
      </c>
      <c r="H8" s="10" t="s">
        <v>114</v>
      </c>
      <c r="I8" s="10"/>
      <c r="J8" s="12" t="s">
        <v>115</v>
      </c>
      <c r="K8" s="13" t="s">
        <v>150</v>
      </c>
      <c r="L8" s="14"/>
    </row>
    <row r="9" spans="1:12" ht="76.5" customHeight="1" x14ac:dyDescent="0.15">
      <c r="A9" s="9" t="s">
        <v>116</v>
      </c>
      <c r="B9" s="10" t="s">
        <v>117</v>
      </c>
      <c r="C9" s="10" t="s">
        <v>118</v>
      </c>
      <c r="D9" s="9" t="s">
        <v>119</v>
      </c>
      <c r="E9" s="10" t="s">
        <v>120</v>
      </c>
      <c r="F9" s="10" t="s">
        <v>121</v>
      </c>
      <c r="G9" s="10" t="s">
        <v>122</v>
      </c>
      <c r="H9" s="10" t="s">
        <v>123</v>
      </c>
      <c r="I9" s="10"/>
      <c r="J9" s="12" t="s">
        <v>124</v>
      </c>
      <c r="K9" s="13" t="s">
        <v>151</v>
      </c>
      <c r="L9" s="14" t="s">
        <v>152</v>
      </c>
    </row>
    <row r="10" spans="1:12" ht="76.5" customHeight="1" x14ac:dyDescent="0.15">
      <c r="A10" s="9" t="s">
        <v>125</v>
      </c>
      <c r="B10" s="10" t="s">
        <v>126</v>
      </c>
      <c r="C10" s="10" t="s">
        <v>53</v>
      </c>
      <c r="D10" s="9" t="s">
        <v>127</v>
      </c>
      <c r="E10" s="10" t="s">
        <v>128</v>
      </c>
      <c r="F10" s="11" t="s">
        <v>129</v>
      </c>
      <c r="G10" s="10" t="s">
        <v>130</v>
      </c>
      <c r="H10" s="10"/>
      <c r="I10" s="10"/>
      <c r="J10" s="12" t="s">
        <v>131</v>
      </c>
      <c r="K10" s="13" t="s">
        <v>149</v>
      </c>
      <c r="L10" s="14"/>
    </row>
    <row r="11" spans="1:12" ht="76.5" customHeight="1" x14ac:dyDescent="0.15">
      <c r="A11" s="9" t="s">
        <v>132</v>
      </c>
      <c r="B11" s="10" t="s">
        <v>133</v>
      </c>
      <c r="C11" s="10" t="s">
        <v>134</v>
      </c>
      <c r="D11" s="9" t="s">
        <v>135</v>
      </c>
      <c r="E11" s="10" t="s">
        <v>136</v>
      </c>
      <c r="F11" s="11" t="s">
        <v>137</v>
      </c>
      <c r="G11" s="10" t="s">
        <v>138</v>
      </c>
      <c r="H11" s="10"/>
      <c r="I11" s="10"/>
      <c r="J11" s="12" t="s">
        <v>139</v>
      </c>
      <c r="K11" s="13" t="s">
        <v>149</v>
      </c>
      <c r="L11" s="14"/>
    </row>
    <row r="12" spans="1:12" ht="76.5" customHeight="1" x14ac:dyDescent="0.15">
      <c r="A12" s="9" t="s">
        <v>140</v>
      </c>
      <c r="B12" s="10" t="s">
        <v>141</v>
      </c>
      <c r="C12" s="10" t="s">
        <v>142</v>
      </c>
      <c r="D12" s="9" t="s">
        <v>143</v>
      </c>
      <c r="E12" s="10" t="s">
        <v>144</v>
      </c>
      <c r="F12" s="11" t="s">
        <v>145</v>
      </c>
      <c r="G12" s="10" t="s">
        <v>146</v>
      </c>
      <c r="H12" s="10" t="s">
        <v>147</v>
      </c>
      <c r="I12" s="10"/>
      <c r="J12" s="12" t="s">
        <v>148</v>
      </c>
      <c r="K12" s="13" t="s">
        <v>149</v>
      </c>
      <c r="L12" s="14" t="s">
        <v>153</v>
      </c>
    </row>
    <row r="13" spans="1:12" x14ac:dyDescent="0.15">
      <c r="A13" s="9"/>
      <c r="B13" s="10"/>
      <c r="C13" s="10"/>
      <c r="D13" s="9"/>
      <c r="E13" s="10"/>
      <c r="F13" s="10"/>
      <c r="G13" s="10"/>
      <c r="H13" s="15"/>
      <c r="I13" s="15"/>
      <c r="J13" s="12"/>
      <c r="K13" s="13"/>
      <c r="L13" s="14"/>
    </row>
    <row r="14" spans="1:12" x14ac:dyDescent="0.15">
      <c r="A14" s="9"/>
      <c r="B14" s="10"/>
      <c r="C14" s="10"/>
      <c r="D14" s="9"/>
      <c r="E14" s="10"/>
      <c r="F14" s="11"/>
      <c r="G14" s="10"/>
      <c r="H14" s="15"/>
      <c r="I14" s="15"/>
      <c r="J14" s="12"/>
      <c r="K14" s="13"/>
      <c r="L14" s="14"/>
    </row>
    <row r="15" spans="1:12" x14ac:dyDescent="0.15">
      <c r="A15" s="9"/>
      <c r="B15" s="10"/>
      <c r="C15" s="10"/>
      <c r="D15" s="9"/>
      <c r="E15" s="10"/>
      <c r="F15" s="10"/>
      <c r="G15" s="10"/>
      <c r="H15" s="10"/>
      <c r="I15" s="15"/>
      <c r="J15" s="12"/>
      <c r="K15" s="13"/>
      <c r="L15" s="14"/>
    </row>
    <row r="16" spans="1:12" x14ac:dyDescent="0.15">
      <c r="A16" s="9"/>
      <c r="B16" s="10"/>
      <c r="C16" s="10"/>
      <c r="D16" s="9"/>
      <c r="E16" s="10"/>
      <c r="F16" s="11"/>
      <c r="G16" s="10"/>
      <c r="H16" s="10"/>
      <c r="I16" s="15"/>
      <c r="J16" s="12"/>
      <c r="K16" s="13"/>
      <c r="L16" s="14"/>
    </row>
    <row r="17" spans="1:12" x14ac:dyDescent="0.15">
      <c r="A17" s="9"/>
      <c r="B17" s="10"/>
      <c r="C17" s="10"/>
      <c r="D17" s="9"/>
      <c r="E17" s="10"/>
      <c r="F17" s="10"/>
      <c r="G17" s="10"/>
      <c r="H17" s="10"/>
      <c r="I17" s="15"/>
      <c r="J17" s="12"/>
      <c r="K17" s="13"/>
      <c r="L17" s="14"/>
    </row>
  </sheetData>
  <phoneticPr fontId="9"/>
  <conditionalFormatting sqref="K5:L12">
    <cfRule type="expression" dxfId="1" priority="1">
      <formula>$K5&lt;&gt;""</formula>
    </cfRule>
  </conditionalFormatting>
  <dataValidations count="2">
    <dataValidation type="list" allowBlank="1" sqref="K5 K12 K7:K9" xr:uid="{00000000-0002-0000-0100-000000000000}">
      <formula1>"a,b,c,Other"</formula1>
    </dataValidation>
    <dataValidation type="list" allowBlank="1" sqref="K6 K10:K11" xr:uid="{00000000-0002-0000-0100-000001000000}">
      <formula1>"a,b,Other"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F21" sqref="F21"/>
    </sheetView>
  </sheetViews>
  <sheetFormatPr defaultRowHeight="13.5" x14ac:dyDescent="0.15"/>
  <cols>
    <col min="1" max="1" width="5" customWidth="1"/>
    <col min="2" max="2" width="34" customWidth="1"/>
    <col min="3" max="3" width="62" customWidth="1"/>
    <col min="4" max="4" width="7" customWidth="1"/>
    <col min="5" max="5" width="13" customWidth="1"/>
    <col min="6" max="6" width="44" customWidth="1"/>
  </cols>
  <sheetData>
    <row r="1" spans="1:6" ht="18" customHeight="1" x14ac:dyDescent="0.25">
      <c r="A1" s="5" t="s">
        <v>0</v>
      </c>
    </row>
    <row r="2" spans="1:6" ht="14.25" customHeight="1" x14ac:dyDescent="0.2">
      <c r="A2" s="6" t="s">
        <v>1</v>
      </c>
      <c r="C2" s="6" t="str">
        <f>COUNTA(E5:E18)&amp;" of 14"</f>
        <v>14 of 14</v>
      </c>
    </row>
    <row r="4" spans="1:6" x14ac:dyDescent="0.15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</row>
    <row r="5" spans="1:6" ht="25.5" customHeight="1" x14ac:dyDescent="0.15">
      <c r="A5" s="10" t="s">
        <v>8</v>
      </c>
      <c r="B5" s="9" t="s">
        <v>9</v>
      </c>
      <c r="C5" s="10" t="s">
        <v>10</v>
      </c>
      <c r="D5" s="10" t="s">
        <v>11</v>
      </c>
      <c r="E5" s="16" t="s">
        <v>12</v>
      </c>
      <c r="F5" s="16"/>
    </row>
    <row r="6" spans="1:6" ht="25.5" customHeight="1" x14ac:dyDescent="0.15">
      <c r="A6" s="10" t="s">
        <v>13</v>
      </c>
      <c r="B6" s="9" t="s">
        <v>14</v>
      </c>
      <c r="C6" s="10" t="s">
        <v>15</v>
      </c>
      <c r="D6" s="10" t="s">
        <v>11</v>
      </c>
      <c r="E6" s="16" t="s">
        <v>16</v>
      </c>
      <c r="F6" s="16"/>
    </row>
    <row r="7" spans="1:6" ht="25.5" customHeight="1" x14ac:dyDescent="0.15">
      <c r="A7" s="10" t="s">
        <v>17</v>
      </c>
      <c r="B7" s="9" t="s">
        <v>18</v>
      </c>
      <c r="C7" s="10" t="s">
        <v>19</v>
      </c>
      <c r="D7" s="10" t="s">
        <v>20</v>
      </c>
      <c r="E7" s="16" t="s">
        <v>16</v>
      </c>
      <c r="F7" s="16"/>
    </row>
    <row r="8" spans="1:6" ht="25.5" customHeight="1" x14ac:dyDescent="0.15">
      <c r="A8" s="10" t="s">
        <v>21</v>
      </c>
      <c r="B8" s="9" t="s">
        <v>22</v>
      </c>
      <c r="C8" s="10" t="s">
        <v>23</v>
      </c>
      <c r="D8" s="10" t="s">
        <v>24</v>
      </c>
      <c r="E8" s="16" t="s">
        <v>12</v>
      </c>
      <c r="F8" s="16"/>
    </row>
    <row r="9" spans="1:6" ht="25.5" customHeight="1" x14ac:dyDescent="0.15">
      <c r="A9" s="10" t="s">
        <v>25</v>
      </c>
      <c r="B9" s="9" t="s">
        <v>26</v>
      </c>
      <c r="C9" s="10" t="s">
        <v>27</v>
      </c>
      <c r="D9" s="10" t="s">
        <v>20</v>
      </c>
      <c r="E9" s="16" t="s">
        <v>28</v>
      </c>
      <c r="F9" s="16"/>
    </row>
    <row r="10" spans="1:6" ht="25.5" customHeight="1" x14ac:dyDescent="0.15">
      <c r="A10" s="10" t="s">
        <v>29</v>
      </c>
      <c r="B10" s="9" t="s">
        <v>30</v>
      </c>
      <c r="C10" s="10" t="s">
        <v>31</v>
      </c>
      <c r="D10" s="10" t="s">
        <v>24</v>
      </c>
      <c r="E10" s="16" t="s">
        <v>12</v>
      </c>
      <c r="F10" s="16"/>
    </row>
    <row r="11" spans="1:6" ht="25.5" customHeight="1" x14ac:dyDescent="0.15">
      <c r="A11" s="10" t="s">
        <v>32</v>
      </c>
      <c r="B11" s="9" t="s">
        <v>33</v>
      </c>
      <c r="C11" s="10" t="s">
        <v>34</v>
      </c>
      <c r="D11" s="10" t="s">
        <v>20</v>
      </c>
      <c r="E11" s="16" t="s">
        <v>16</v>
      </c>
      <c r="F11" s="16"/>
    </row>
    <row r="12" spans="1:6" ht="25.5" customHeight="1" x14ac:dyDescent="0.15">
      <c r="A12" s="10" t="s">
        <v>35</v>
      </c>
      <c r="B12" s="9" t="s">
        <v>36</v>
      </c>
      <c r="C12" s="10" t="s">
        <v>37</v>
      </c>
      <c r="D12" s="10" t="s">
        <v>20</v>
      </c>
      <c r="E12" s="16" t="s">
        <v>16</v>
      </c>
      <c r="F12" s="16"/>
    </row>
    <row r="13" spans="1:6" ht="25.5" customHeight="1" x14ac:dyDescent="0.15">
      <c r="A13" s="10" t="s">
        <v>38</v>
      </c>
      <c r="B13" s="9" t="s">
        <v>39</v>
      </c>
      <c r="C13" s="10" t="s">
        <v>40</v>
      </c>
      <c r="D13" s="10" t="s">
        <v>24</v>
      </c>
      <c r="E13" s="16" t="s">
        <v>28</v>
      </c>
      <c r="F13" s="16"/>
    </row>
    <row r="14" spans="1:6" ht="25.5" customHeight="1" x14ac:dyDescent="0.15">
      <c r="A14" s="10" t="s">
        <v>41</v>
      </c>
      <c r="B14" s="9" t="s">
        <v>42</v>
      </c>
      <c r="C14" s="10" t="s">
        <v>43</v>
      </c>
      <c r="D14" s="10" t="s">
        <v>24</v>
      </c>
      <c r="E14" s="16" t="s">
        <v>16</v>
      </c>
      <c r="F14" s="16"/>
    </row>
    <row r="15" spans="1:6" ht="25.5" customHeight="1" x14ac:dyDescent="0.15">
      <c r="A15" s="10" t="s">
        <v>44</v>
      </c>
      <c r="B15" s="9" t="s">
        <v>45</v>
      </c>
      <c r="C15" s="10" t="s">
        <v>46</v>
      </c>
      <c r="D15" s="10" t="s">
        <v>11</v>
      </c>
      <c r="E15" s="16" t="s">
        <v>16</v>
      </c>
      <c r="F15" s="16"/>
    </row>
    <row r="16" spans="1:6" ht="25.5" customHeight="1" x14ac:dyDescent="0.15">
      <c r="A16" s="10" t="s">
        <v>47</v>
      </c>
      <c r="B16" s="9" t="s">
        <v>48</v>
      </c>
      <c r="C16" s="10" t="s">
        <v>49</v>
      </c>
      <c r="D16" s="10" t="s">
        <v>24</v>
      </c>
      <c r="E16" s="16" t="s">
        <v>16</v>
      </c>
      <c r="F16" s="16"/>
    </row>
    <row r="17" spans="1:6" ht="25.5" customHeight="1" x14ac:dyDescent="0.15">
      <c r="A17" s="10" t="s">
        <v>50</v>
      </c>
      <c r="B17" s="9" t="s">
        <v>51</v>
      </c>
      <c r="C17" s="10" t="s">
        <v>52</v>
      </c>
      <c r="D17" s="10" t="s">
        <v>20</v>
      </c>
      <c r="E17" s="16" t="s">
        <v>16</v>
      </c>
      <c r="F17" s="16"/>
    </row>
    <row r="18" spans="1:6" ht="25.5" customHeight="1" x14ac:dyDescent="0.15">
      <c r="A18" s="10" t="s">
        <v>53</v>
      </c>
      <c r="B18" s="9" t="s">
        <v>54</v>
      </c>
      <c r="C18" s="10" t="s">
        <v>55</v>
      </c>
      <c r="D18" s="10" t="s">
        <v>11</v>
      </c>
      <c r="E18" s="16" t="s">
        <v>16</v>
      </c>
      <c r="F18" s="16"/>
    </row>
    <row r="19" spans="1:6" x14ac:dyDescent="0.15">
      <c r="B19" s="2"/>
      <c r="E19" s="17"/>
    </row>
    <row r="20" spans="1:6" x14ac:dyDescent="0.15">
      <c r="B20" s="18" t="s">
        <v>56</v>
      </c>
      <c r="E20" s="17"/>
    </row>
    <row r="21" spans="1:6" ht="38.25" x14ac:dyDescent="0.15">
      <c r="B21" s="19" t="s">
        <v>154</v>
      </c>
      <c r="C21" s="20" t="s">
        <v>156</v>
      </c>
      <c r="E21" s="21" t="s">
        <v>155</v>
      </c>
    </row>
    <row r="22" spans="1:6" ht="25.5" x14ac:dyDescent="0.15">
      <c r="B22" s="19" t="s">
        <v>157</v>
      </c>
      <c r="C22" s="20" t="s">
        <v>158</v>
      </c>
      <c r="E22" s="21" t="s">
        <v>155</v>
      </c>
    </row>
  </sheetData>
  <phoneticPr fontId="9"/>
  <conditionalFormatting sqref="E5:F18 E21:E22">
    <cfRule type="expression" dxfId="0" priority="1">
      <formula>$E5&lt;&gt;""</formula>
    </cfRule>
  </conditionalFormatting>
  <dataValidations count="1">
    <dataValidation type="list" allowBlank="1" sqref="E5:E18" xr:uid="{00000000-0002-0000-0200-000000000000}">
      <formula1>"Now,Next,Later,Never"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Read me</vt:lpstr>
      <vt:lpstr>Poll</vt:lpstr>
      <vt:lpstr>Priorities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コンスタンティン ミハイロフ</cp:lastModifiedBy>
  <dcterms:created xsi:type="dcterms:W3CDTF">2026-10-22T16:19:35Z</dcterms:created>
  <dcterms:modified xsi:type="dcterms:W3CDTF">2026-10-24T03:15:04Z</dcterms:modified>
</cp:coreProperties>
</file>