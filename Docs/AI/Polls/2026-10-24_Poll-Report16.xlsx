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Lesson\FallenStar-Spellcasters\Docs\AI\Polls\"/>
    </mc:Choice>
  </mc:AlternateContent>
  <xr:revisionPtr revIDLastSave="0" documentId="13_ncr:1_{EF092797-75DB-4FDE-B206-4C3DE5ED31DC}" xr6:coauthVersionLast="47" xr6:coauthVersionMax="47" xr10:uidLastSave="{00000000-0000-0000-0000-000000000000}"/>
  <bookViews>
    <workbookView xWindow="0" yWindow="390" windowWidth="38700" windowHeight="17145" activeTab="1" xr2:uid="{00000000-000D-0000-FFFF-FFFF00000000}"/>
  </bookViews>
  <sheets>
    <sheet name="Read me" sheetId="1" r:id="rId1"/>
    <sheet name="Poll" sheetId="2" r:id="rId2"/>
    <sheet name="Prioriti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 r="D2" i="2"/>
  <c r="C2" i="2"/>
</calcChain>
</file>

<file path=xl/sharedStrings.xml><?xml version="1.0" encoding="utf-8"?>
<sst xmlns="http://schemas.openxmlformats.org/spreadsheetml/2006/main" count="190" uniqueCount="146">
  <si>
    <t>Poll: open questions after Issue Report #16</t>
  </si>
  <si>
    <t>What this is</t>
  </si>
  <si>
    <t>The fourth poll in this format. Four questions; none of them holds up this round's checklist or the next two Codex tasks. The Priorities sheet is now sorted by your rank (Now, Next, Later, Done), as you asked, and has your four new ideas as F17–F20.</t>
  </si>
  <si>
    <t>Source</t>
  </si>
  <si>
    <t>Docs/AI/Reports/2026-10-24_IssueReport-16.md: §1 (your checklist), §2 (Codex's work), §3 (new findings), §4 (your poll answers), §5 (project structure), §6 (the next tasks), §8 (all open issues).</t>
  </si>
  <si>
    <t>How to answer</t>
  </si>
  <si>
    <t>1. Poll sheet: pick a letter in 'Your answer' (yellow). Each option says what I'll do if you pick it.
2. 'Other': write your own answer in 'Your comment'. Comments are always welcome, also next to a letter.
3. Priorities sheet: change Now / Next / Later / Never where you want. 'Done' rows are only for reference.
4. Answer some now and the rest later: the counter at the top of the Poll sheet shows what's still open.
5. Tell Claude 'poll done' (or answer in chat instead). I copy the answers into the next report.</t>
  </si>
  <si>
    <t>Legend</t>
  </si>
  <si>
    <t>Yellow cell</t>
  </si>
  <si>
    <t>Yours to fill in. It turns green once answered.</t>
  </si>
  <si>
    <t>★ and a green option cell</t>
  </si>
  <si>
    <t>My recommendation. It's only advice: the decision is yours.</t>
  </si>
  <si>
    <t>—</t>
  </si>
  <si>
    <t>No recommendation: a question only you can answer (for example, whether something is still parked).</t>
  </si>
  <si>
    <t>S / M / L</t>
  </si>
  <si>
    <t>Priorities sheet: my rough size of the work. S = a small task, M = one normal task, L = several tasks or a new system.</t>
  </si>
  <si>
    <t>Poll: open questions (Issue Report #16)</t>
  </si>
  <si>
    <t>Answered:</t>
  </si>
  <si>
    <t>#</t>
  </si>
  <si>
    <t>Topic</t>
  </si>
  <si>
    <t>Issue</t>
  </si>
  <si>
    <t>Question</t>
  </si>
  <si>
    <t>Background</t>
  </si>
  <si>
    <t>Option a</t>
  </si>
  <si>
    <t>Option b</t>
  </si>
  <si>
    <t>Option c</t>
  </si>
  <si>
    <t>Option d</t>
  </si>
  <si>
    <t>My recommendation</t>
  </si>
  <si>
    <t>Your answer</t>
  </si>
  <si>
    <t>Your comment</t>
  </si>
  <si>
    <t>Q1</t>
  </si>
  <si>
    <t>NGO error at stop</t>
  </si>
  <si>
    <t>U9</t>
  </si>
  <si>
    <t>U9 came back once: a NullReferenceException in NGO's NetworkSceneManager.Dispose when Play Mode stopped (the clone, after a match ended by Leave). You closed U9 in poll #14 with 'reopen if seen again'. What now?</t>
  </si>
  <si>
    <t>It's inside NGO 2.11.2: at quit, Dispose runs on a scene manager whose data is already gone. The release Player.log had no exception (G1.5), and no match state is affected: it happens while Unity tears the scene down.</t>
  </si>
  <si>
    <t>★ a. Keep it open as Info and just watch it (no task).</t>
  </si>
  <si>
    <t>b. Research it: a newer NGO with a fix, or whether our shutdown order triggers it (a short research note).</t>
  </si>
  <si>
    <t>c. Close it again and stop reporting it.</t>
  </si>
  <si>
    <t>a: harmless, Editor-side, and not our code.</t>
  </si>
  <si>
    <t>Q2</t>
  </si>
  <si>
    <t>Unused asset packs</t>
  </si>
  <si>
    <t>Four asset packs aren't used by any scene, prefab or material: 500FreeSkillIcons (200 MB), Cartoon FX Remaster (41 MB), Gabriel Aguiar's Free Quick Effects (40 MB), and the URP template's TutorialInfo + Readme.asset (63 KB). What should happen to them?</t>
  </si>
  <si>
    <t>Unused assets don't go into builds, but every clone, import and backup carries about 281 MB. The two effect packs fit your idea F19 (card and magic effects). Codex would delete them in a task; git history keeps them.</t>
  </si>
  <si>
    <t>a. Keep everything.</t>
  </si>
  <si>
    <t>★ b. Remove only the URP template leftovers (TutorialInfo, Readme.asset) in the next task.</t>
  </si>
  <si>
    <t>c. Also remove 500FreeSkillIcons (unless you want it for card art).</t>
  </si>
  <si>
    <t>d. Other (comment).</t>
  </si>
  <si>
    <t>b: tiny and safe; the rest may serve F19 or card art.</t>
  </si>
  <si>
    <t>Q3</t>
  </si>
  <si>
    <t>Effect assets</t>
  </si>
  <si>
    <t>F19</t>
  </si>
  <si>
    <t>For F19 (card and magic animations) you wrote 'I'll give you some assets for research'. The project already has two effect packs: Cartoon FX Remaster (65 prefabs: explosions, electric …) and Gabriel Aguiar's Free Quick Effects (explosion, heal, lightning, flames …). Are these the assets you meant?</t>
  </si>
  <si>
    <t>F19 is ranked Later, so nothing starts now. Your answer tells the later research where to look.</t>
  </si>
  <si>
    <t>a. Yes: research F19 with these two packs.</t>
  </si>
  <si>
    <t>b. No: I'll bring other assets.</t>
  </si>
  <si>
    <t>c. Both: these two plus others I'll bring.</t>
  </si>
  <si>
    <t>— your call</t>
  </si>
  <si>
    <t>Q4</t>
  </si>
  <si>
    <t>Pony animation</t>
  </si>
  <si>
    <t>F17</t>
  </si>
  <si>
    <t>Your new idea F17: movement animation and rotation, made by another Claude agent. The pony is one static mesh with no skeleton, so a walk animation needs a rig first (a Blender job, like the mane). Turning the pony toward where it moves, plus a small hop per step, can be done in code without a rig. Split F17?</t>
  </si>
  <si>
    <t>Without a rig, Unity can only move, turn and scale the whole pony. A rig means re-exporting the body from Blender with bones and checking that the mane still fits (it would follow the head bone).</t>
  </si>
  <si>
    <t>★ a. Split: F17a = turn + hop in code (S); F17b = rig and walk animation by a Blender agent (L). Both Later unless you rank them higher.</t>
  </si>
  <si>
    <t>b. Keep F17 as one item (rig + animation).</t>
  </si>
  <si>
    <t>a: F17a gives visible motion cheaply; F17b keeps the full job.</t>
  </si>
  <si>
    <t>Priorities: feature gaps (not defects), sorted by your rank: Now, Next, Later, then Done. Change any rank.</t>
  </si>
  <si>
    <t>Feature gap</t>
  </si>
  <si>
    <t>What it means today</t>
  </si>
  <si>
    <t>Size</t>
  </si>
  <si>
    <t>Your priority</t>
  </si>
  <si>
    <t>F9</t>
  </si>
  <si>
    <t>Big-card animation</t>
  </si>
  <si>
    <t>Implemented (fade 0.7 s in / 0.6 s out, editable); closes with checklist #16.</t>
  </si>
  <si>
    <t>S</t>
  </si>
  <si>
    <t>Now</t>
  </si>
  <si>
    <t>F15</t>
  </si>
  <si>
    <t>Deck counter</t>
  </si>
  <si>
    <t>Your Q3 = a: a HUD line 'Deck : 37' under the opponent's hand line. TASK-F15_F16_N64 (written). Your face-down-card idea (b) is kept as F15b.</t>
  </si>
  <si>
    <t>F16</t>
  </si>
  <si>
    <t>Opponent's hand counter</t>
  </si>
  <si>
    <t>Your Q4 = a: a HUD line 'Opponent's hand : 5' under the opponent's mana. TASK-F15_F16_N64 (written). The card-backs row (b) is kept as F16b.</t>
  </si>
  <si>
    <t>F5</t>
  </si>
  <si>
    <t>More card effects</t>
  </si>
  <si>
    <t>Discard and combo actions, All* / Random* targets, ActivityEffect. You'll send new card ideas next week.</t>
  </si>
  <si>
    <t>L</t>
  </si>
  <si>
    <t>Next</t>
  </si>
  <si>
    <t>F2</t>
  </si>
  <si>
    <t>More settings</t>
  </si>
  <si>
    <t>Audio, graphics quality, controls, UI scale.</t>
  </si>
  <si>
    <t>M</t>
  </si>
  <si>
    <t>Later</t>
  </si>
  <si>
    <t>F3</t>
  </si>
  <si>
    <t>Steam login</t>
  </si>
  <si>
    <t>The LoginScene button exists; AuthManager.SignInSteam is a stub.</t>
  </si>
  <si>
    <t>F7</t>
  </si>
  <si>
    <t>Spectators</t>
  </si>
  <si>
    <t>SessionRole.Spectator exists, nothing assigns it; the scene supports two teams.</t>
  </si>
  <si>
    <t>F8</t>
  </si>
  <si>
    <t>Rejoin a running match</t>
  </si>
  <si>
    <t>Research RESEARCH-H6C exists; H6 chose the forfeit. Interacts with your planned Server + clients move.</t>
  </si>
  <si>
    <t>F10</t>
  </si>
  <si>
    <t>Movement limit per turn</t>
  </si>
  <si>
    <t>Your idea: limit how many steps a player may move in each Player action.</t>
  </si>
  <si>
    <t>F11</t>
  </si>
  <si>
    <t>Player hints</t>
  </si>
  <si>
    <t>Your idea: show what to do next, e.g. which targets can be selected. Overlaps F20.</t>
  </si>
  <si>
    <t>F12</t>
  </si>
  <si>
    <t>Hint settings</t>
  </si>
  <si>
    <t>Your idea: a setting for how many hints to show (after F11). Overlaps F20.</t>
  </si>
  <si>
    <t>F13</t>
  </si>
  <si>
    <t>Audio and music</t>
  </si>
  <si>
    <t>Your idea: sound effects and background music (needs audio assets).</t>
  </si>
  <si>
    <t>F14</t>
  </si>
  <si>
    <t>Redraw GUI panels</t>
  </si>
  <si>
    <t>The quick part (F14a, dark boxes) is implemented. The full redraw stays here.</t>
  </si>
  <si>
    <t>F15b</t>
  </si>
  <si>
    <t>Deck as a face-down card</t>
  </si>
  <si>
    <t>Your Q3 note: a face-down card on the table; clicking it shows the count. Kept for later.</t>
  </si>
  <si>
    <t>F16b</t>
  </si>
  <si>
    <t>Opponent's hand as card backs</t>
  </si>
  <si>
    <t>Your Q4 note ('same as Q3'): a row of face-down card backs. Kept for later.</t>
  </si>
  <si>
    <t>Movement animation + rotation</t>
  </si>
  <si>
    <t>Your idea: animate the pony when it moves and turn it; made by another Claude agent. The pony has no rig: poll Q4 asks about a split.</t>
  </si>
  <si>
    <t>F18</t>
  </si>
  <si>
    <t>Camera views</t>
  </si>
  <si>
    <t>Your idea: reposition the game view for visibility: focus on your side, the enemy side, or the whole table.</t>
  </si>
  <si>
    <t>Card and spell animations</t>
  </si>
  <si>
    <t>Your idea: animation on card click / selection (local), and effects for both players (explosions, magic). Research first; assets: poll Q3.</t>
  </si>
  <si>
    <t>F20</t>
  </si>
  <si>
    <t>Animation and camera settings</t>
  </si>
  <si>
    <t>Your idea: camera focus (follow movement / card target / free; free, enemy zoom, self zoom), play hints for the selected card, and auto-zoom on possible targets. 'When the general animation system is done.'</t>
  </si>
  <si>
    <t>F1</t>
  </si>
  <si>
    <t>Messages on screen</t>
  </si>
  <si>
    <t>Done: TASK-N59_N61_F1, checklist #15 passed.</t>
  </si>
  <si>
    <t>Done</t>
  </si>
  <si>
    <t>F4</t>
  </si>
  <si>
    <t>Draw phase on screen</t>
  </si>
  <si>
    <t>Done: TASK-F4_F6_N36, checklist #15 passed.</t>
  </si>
  <si>
    <t>F6</t>
  </si>
  <si>
    <t>Blocks win rule</t>
  </si>
  <si>
    <t>Done: TASK-F4_F6_N36 (Codex's harness destroyed all 25 blocks; your optional D4 wasn't run).</t>
  </si>
  <si>
    <t>Missing a feature? Add it in a new row.</t>
  </si>
  <si>
    <t>a</t>
  </si>
  <si>
    <t>b</t>
  </si>
  <si>
    <t>c</t>
    <phoneticPr fontId="9"/>
  </si>
  <si>
    <r>
      <t xml:space="preserve">Create guide for </t>
    </r>
    <r>
      <rPr>
        <sz val="10"/>
        <color rgb="FF000000"/>
        <rFont val="游ゴシック"/>
        <family val="2"/>
        <charset val="128"/>
      </rPr>
      <t>F17b with claude prompt, keep 17a as later task(after rig and walk anim)</t>
    </r>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</si>
</sst>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ＭＳ Ｐゴシック"/>
      <family val="2"/>
      <scheme val="minor"/>
    </font>
    <font>
      <b/>
      <sz val="16"/>
      <color rgb="FF000000"/>
      <name val="Arial"/>
      <family val="2"/>
    </font>
    <font>
      <b/>
      <sz val="10"/>
      <color rgb="FF000000"/>
      <name val="Arial"/>
      <family val="2"/>
    </font>
    <font>
      <sz val="10"/>
      <color rgb="FF000000"/>
      <name val="Arial"/>
      <family val="2"/>
    </font>
    <font>
      <b/>
      <sz val="12"/>
      <color rgb="FF000000"/>
      <name val="Arial"/>
      <family val="2"/>
    </font>
    <font>
      <b/>
      <sz val="14"/>
      <color rgb="FF000000"/>
      <name val="Arial"/>
      <family val="2"/>
    </font>
    <font>
      <b/>
      <sz val="10"/>
      <color rgb="FF9C5700"/>
      <name val="Arial"/>
      <family val="2"/>
    </font>
    <font>
      <b/>
      <sz val="10"/>
      <color rgb="FFFFFFFF"/>
      <name val="Arial"/>
      <family val="2"/>
    </font>
    <font>
      <i/>
      <sz val="10"/>
      <color rgb="FF000000"/>
      <name val="Arial"/>
      <family val="2"/>
    </font>
    <font>
      <sz val="6"/>
      <name val="ＭＳ Ｐゴシック"/>
      <family val="3"/>
      <charset val="128"/>
      <scheme val="minor"/>
    </font>
    <font>
      <b/>
      <sz val="10"/>
      <name val="ＭＳ Ｐゴシック"/>
      <family val="3"/>
      <charset val="128"/>
    </font>
    <font>
      <sz val="10"/>
      <color rgb="FF000000"/>
      <name val="游ゴシック"/>
      <family val="2"/>
      <charset val="128"/>
    </font>
  </fonts>
  <fills count="6">
    <fill>
      <patternFill patternType="none"/>
    </fill>
    <fill>
      <patternFill patternType="gray125"/>
    </fill>
    <fill>
      <patternFill patternType="solid">
        <fgColor rgb="FF1F3864"/>
      </patternFill>
    </fill>
    <fill>
      <patternFill patternType="solid">
        <fgColor rgb="FFE2EFDA"/>
      </patternFill>
    </fill>
    <fill>
      <patternFill patternType="solid">
        <fgColor rgb="FFFFF2CC"/>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4" fillId="0" borderId="0" xfId="0" applyFont="1"/>
    <xf numFmtId="0" fontId="5" fillId="0" borderId="0" xfId="0" applyFont="1"/>
    <xf numFmtId="0" fontId="2" fillId="0" borderId="0" xfId="0" applyFont="1"/>
    <xf numFmtId="0" fontId="6" fillId="0" borderId="0" xfId="0" applyFont="1"/>
    <xf numFmtId="0" fontId="7" fillId="2" borderId="1" xfId="0" applyFont="1" applyFill="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2" fillId="3" borderId="1" xfId="0" applyFont="1" applyFill="1" applyBorder="1" applyAlignment="1">
      <alignment vertical="top" wrapText="1"/>
    </xf>
    <xf numFmtId="0" fontId="8" fillId="0" borderId="1" xfId="0" applyFont="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0" fillId="5" borderId="1" xfId="0" applyFill="1" applyBorder="1"/>
    <xf numFmtId="0" fontId="0" fillId="4" borderId="1" xfId="0" applyFill="1" applyBorder="1" applyAlignment="1">
      <alignment vertical="top" wrapText="1"/>
    </xf>
    <xf numFmtId="0" fontId="10" fillId="0" borderId="0" xfId="0" applyFont="1"/>
  </cellXfs>
  <cellStyles count="1">
    <cellStyle name="標準" xfId="0" builtinId="0"/>
  </cellStyles>
  <dxfs count="2">
    <dxf>
      <fill>
        <patternFill patternType="solid">
          <fgColor rgb="FFC6EFCE"/>
          <bgColor rgb="FFC6EF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election activeCell="B14" sqref="B14"/>
    </sheetView>
  </sheetViews>
  <sheetFormatPr defaultRowHeight="13.5" x14ac:dyDescent="0.15"/>
  <cols>
    <col min="1" max="1" width="26" customWidth="1"/>
    <col min="2" max="2" width="105" customWidth="1"/>
  </cols>
  <sheetData>
    <row r="1" spans="1:2" ht="20.25" customHeight="1" x14ac:dyDescent="0.3">
      <c r="A1" s="1" t="s">
        <v>0</v>
      </c>
    </row>
    <row r="3" spans="1:2" ht="25.5" customHeight="1" x14ac:dyDescent="0.15">
      <c r="A3" s="2" t="s">
        <v>1</v>
      </c>
      <c r="B3" s="3" t="s">
        <v>2</v>
      </c>
    </row>
    <row r="4" spans="1:2" ht="25.5" customHeight="1" x14ac:dyDescent="0.15">
      <c r="A4" s="2" t="s">
        <v>3</v>
      </c>
      <c r="B4" s="3" t="s">
        <v>4</v>
      </c>
    </row>
    <row r="5" spans="1:2" ht="63.75" customHeight="1" x14ac:dyDescent="0.15">
      <c r="A5" s="2" t="s">
        <v>5</v>
      </c>
      <c r="B5" s="3" t="s">
        <v>6</v>
      </c>
    </row>
    <row r="7" spans="1:2" ht="15.75" customHeight="1" x14ac:dyDescent="0.25">
      <c r="A7" s="4" t="s">
        <v>7</v>
      </c>
    </row>
    <row r="8" spans="1:2" x14ac:dyDescent="0.15">
      <c r="A8" s="2" t="s">
        <v>8</v>
      </c>
      <c r="B8" s="3" t="s">
        <v>9</v>
      </c>
    </row>
    <row r="9" spans="1:2" x14ac:dyDescent="0.15">
      <c r="A9" s="2" t="s">
        <v>10</v>
      </c>
      <c r="B9" s="3" t="s">
        <v>11</v>
      </c>
    </row>
    <row r="10" spans="1:2" x14ac:dyDescent="0.15">
      <c r="A10" s="2" t="s">
        <v>12</v>
      </c>
      <c r="B10" s="3" t="s">
        <v>13</v>
      </c>
    </row>
    <row r="11" spans="1:2" x14ac:dyDescent="0.15">
      <c r="A11" s="2" t="s">
        <v>14</v>
      </c>
      <c r="B11" s="3" t="s">
        <v>15</v>
      </c>
    </row>
  </sheetData>
  <phoneticPr fontId="9"/>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7"/>
  <sheetViews>
    <sheetView tabSelected="1" workbookViewId="0">
      <pane xSplit="4" ySplit="4" topLeftCell="F5" activePane="bottomRight" state="frozen"/>
      <selection pane="topRight"/>
      <selection pane="bottomLeft"/>
      <selection pane="bottomRight" activeCell="I10" sqref="I9:I10"/>
    </sheetView>
  </sheetViews>
  <sheetFormatPr defaultRowHeight="13.5" x14ac:dyDescent="0.15"/>
  <cols>
    <col min="1" max="1" width="5" customWidth="1"/>
    <col min="2" max="2" width="15" customWidth="1"/>
    <col min="3" max="3" width="8" customWidth="1"/>
    <col min="4" max="4" width="38" customWidth="1"/>
    <col min="5" max="5" width="52" customWidth="1"/>
    <col min="6" max="8" width="30" customWidth="1"/>
    <col min="9" max="9" width="26" customWidth="1"/>
    <col min="10" max="10" width="30" customWidth="1"/>
    <col min="11" max="11" width="11" customWidth="1"/>
    <col min="12" max="12" width="40" customWidth="1"/>
  </cols>
  <sheetData>
    <row r="1" spans="1:12" ht="18" customHeight="1" x14ac:dyDescent="0.25">
      <c r="A1" s="5" t="s">
        <v>16</v>
      </c>
    </row>
    <row r="2" spans="1:12" ht="14.25" customHeight="1" x14ac:dyDescent="0.2">
      <c r="A2" s="6" t="s">
        <v>17</v>
      </c>
      <c r="C2" s="6" t="str">
        <f>COUNTA(K5:K8)&amp;" of 4"</f>
        <v>4 of 4</v>
      </c>
      <c r="D2" s="7" t="str">
        <f>IF(COUNTA(K5:K8)=4,"All answered. Tell Claude: poll done.","Still open: "&amp;(4-COUNTA(K5:K8)))</f>
        <v>All answered. Tell Claude: poll done.</v>
      </c>
    </row>
    <row r="4" spans="1:12" x14ac:dyDescent="0.15">
      <c r="A4" s="8" t="s">
        <v>18</v>
      </c>
      <c r="B4" s="8" t="s">
        <v>19</v>
      </c>
      <c r="C4" s="8" t="s">
        <v>20</v>
      </c>
      <c r="D4" s="8" t="s">
        <v>21</v>
      </c>
      <c r="E4" s="8" t="s">
        <v>22</v>
      </c>
      <c r="F4" s="8" t="s">
        <v>23</v>
      </c>
      <c r="G4" s="8" t="s">
        <v>24</v>
      </c>
      <c r="H4" s="8" t="s">
        <v>25</v>
      </c>
      <c r="I4" s="8" t="s">
        <v>26</v>
      </c>
      <c r="J4" s="8" t="s">
        <v>27</v>
      </c>
      <c r="K4" s="8" t="s">
        <v>28</v>
      </c>
      <c r="L4" s="8" t="s">
        <v>29</v>
      </c>
    </row>
    <row r="5" spans="1:12" ht="102" customHeight="1" x14ac:dyDescent="0.15">
      <c r="A5" s="9" t="s">
        <v>30</v>
      </c>
      <c r="B5" s="10" t="s">
        <v>31</v>
      </c>
      <c r="C5" s="10" t="s">
        <v>32</v>
      </c>
      <c r="D5" s="9" t="s">
        <v>33</v>
      </c>
      <c r="E5" s="10" t="s">
        <v>34</v>
      </c>
      <c r="F5" s="11" t="s">
        <v>35</v>
      </c>
      <c r="G5" s="10" t="s">
        <v>36</v>
      </c>
      <c r="H5" s="10" t="s">
        <v>37</v>
      </c>
      <c r="I5" s="10"/>
      <c r="J5" s="12" t="s">
        <v>38</v>
      </c>
      <c r="K5" s="13" t="s">
        <v>142</v>
      </c>
      <c r="L5" s="14"/>
    </row>
    <row r="6" spans="1:12" ht="102" customHeight="1" x14ac:dyDescent="0.15">
      <c r="A6" s="9" t="s">
        <v>39</v>
      </c>
      <c r="B6" s="10" t="s">
        <v>40</v>
      </c>
      <c r="C6" s="10" t="s">
        <v>12</v>
      </c>
      <c r="D6" s="9" t="s">
        <v>41</v>
      </c>
      <c r="E6" s="10" t="s">
        <v>42</v>
      </c>
      <c r="F6" s="10" t="s">
        <v>43</v>
      </c>
      <c r="G6" s="11" t="s">
        <v>44</v>
      </c>
      <c r="H6" s="10" t="s">
        <v>45</v>
      </c>
      <c r="I6" s="10" t="s">
        <v>46</v>
      </c>
      <c r="J6" s="12" t="s">
        <v>47</v>
      </c>
      <c r="K6" s="13" t="s">
        <v>143</v>
      </c>
      <c r="L6" s="14"/>
    </row>
    <row r="7" spans="1:12" ht="102" customHeight="1" x14ac:dyDescent="0.15">
      <c r="A7" s="9" t="s">
        <v>48</v>
      </c>
      <c r="B7" s="10" t="s">
        <v>49</v>
      </c>
      <c r="C7" s="10" t="s">
        <v>50</v>
      </c>
      <c r="D7" s="9" t="s">
        <v>51</v>
      </c>
      <c r="E7" s="10" t="s">
        <v>52</v>
      </c>
      <c r="F7" s="10" t="s">
        <v>53</v>
      </c>
      <c r="G7" s="10" t="s">
        <v>54</v>
      </c>
      <c r="H7" s="10" t="s">
        <v>55</v>
      </c>
      <c r="I7" s="10"/>
      <c r="J7" s="12" t="s">
        <v>56</v>
      </c>
      <c r="K7" s="13" t="s">
        <v>143</v>
      </c>
      <c r="L7" s="14"/>
    </row>
    <row r="8" spans="1:12" ht="102" customHeight="1" x14ac:dyDescent="0.15">
      <c r="A8" s="9" t="s">
        <v>57</v>
      </c>
      <c r="B8" s="10" t="s">
        <v>58</v>
      </c>
      <c r="C8" s="10" t="s">
        <v>59</v>
      </c>
      <c r="D8" s="9" t="s">
        <v>60</v>
      </c>
      <c r="E8" s="10" t="s">
        <v>61</v>
      </c>
      <c r="F8" s="11" t="s">
        <v>62</v>
      </c>
      <c r="G8" s="10" t="s">
        <v>63</v>
      </c>
      <c r="H8" s="10"/>
      <c r="I8" s="10"/>
      <c r="J8" s="12" t="s">
        <v>64</v>
      </c>
      <c r="K8" s="13" t="s">
        <v>144</v>
      </c>
      <c r="L8" s="14" t="s">
        <v>145</v>
      </c>
    </row>
    <row r="9" spans="1:12" x14ac:dyDescent="0.15">
      <c r="A9" s="9"/>
      <c r="B9" s="10"/>
      <c r="C9" s="10"/>
      <c r="D9" s="9"/>
      <c r="E9" s="10"/>
      <c r="F9" s="11"/>
      <c r="G9" s="10"/>
      <c r="H9" s="10"/>
      <c r="I9" s="10"/>
      <c r="J9" s="12"/>
      <c r="K9" s="13"/>
      <c r="L9" s="14"/>
    </row>
    <row r="10" spans="1:12" x14ac:dyDescent="0.15">
      <c r="A10" s="9"/>
      <c r="B10" s="10"/>
      <c r="C10" s="10"/>
      <c r="D10" s="9"/>
      <c r="E10" s="10"/>
      <c r="F10" s="11"/>
      <c r="G10" s="10"/>
      <c r="H10" s="10"/>
      <c r="I10" s="10"/>
      <c r="J10" s="12"/>
      <c r="K10" s="13"/>
      <c r="L10" s="14"/>
    </row>
    <row r="11" spans="1:12" x14ac:dyDescent="0.15">
      <c r="A11" s="9"/>
      <c r="B11" s="10"/>
      <c r="C11" s="10"/>
      <c r="D11" s="9"/>
      <c r="E11" s="10"/>
      <c r="F11" s="11"/>
      <c r="G11" s="10"/>
      <c r="H11" s="10"/>
      <c r="I11" s="10"/>
      <c r="J11" s="12"/>
      <c r="K11" s="13"/>
      <c r="L11" s="14"/>
    </row>
    <row r="12" spans="1:12" x14ac:dyDescent="0.15">
      <c r="A12" s="9"/>
      <c r="B12" s="10"/>
      <c r="C12" s="10"/>
      <c r="D12" s="9"/>
      <c r="E12" s="10"/>
      <c r="F12" s="11"/>
      <c r="G12" s="10"/>
      <c r="H12" s="10"/>
      <c r="I12" s="10"/>
      <c r="J12" s="12"/>
      <c r="K12" s="13"/>
      <c r="L12" s="14"/>
    </row>
    <row r="13" spans="1:12" x14ac:dyDescent="0.15">
      <c r="A13" s="9"/>
      <c r="B13" s="10"/>
      <c r="C13" s="10"/>
      <c r="D13" s="9"/>
      <c r="E13" s="10"/>
      <c r="F13" s="10"/>
      <c r="G13" s="10"/>
      <c r="H13" s="15"/>
      <c r="I13" s="15"/>
      <c r="J13" s="12"/>
      <c r="K13" s="13"/>
      <c r="L13" s="14"/>
    </row>
    <row r="14" spans="1:12" x14ac:dyDescent="0.15">
      <c r="A14" s="9"/>
      <c r="B14" s="10"/>
      <c r="C14" s="10"/>
      <c r="D14" s="9"/>
      <c r="E14" s="10"/>
      <c r="F14" s="11"/>
      <c r="G14" s="10"/>
      <c r="H14" s="15"/>
      <c r="I14" s="15"/>
      <c r="J14" s="12"/>
      <c r="K14" s="13"/>
      <c r="L14" s="14"/>
    </row>
    <row r="15" spans="1:12" x14ac:dyDescent="0.15">
      <c r="A15" s="9"/>
      <c r="B15" s="10"/>
      <c r="C15" s="10"/>
      <c r="D15" s="9"/>
      <c r="E15" s="10"/>
      <c r="F15" s="10"/>
      <c r="G15" s="10"/>
      <c r="H15" s="10"/>
      <c r="I15" s="15"/>
      <c r="J15" s="12"/>
      <c r="K15" s="13"/>
      <c r="L15" s="14"/>
    </row>
    <row r="16" spans="1:12" x14ac:dyDescent="0.15">
      <c r="A16" s="9"/>
      <c r="B16" s="10"/>
      <c r="C16" s="10"/>
      <c r="D16" s="9"/>
      <c r="E16" s="10"/>
      <c r="F16" s="11"/>
      <c r="G16" s="10"/>
      <c r="H16" s="10"/>
      <c r="I16" s="15"/>
      <c r="J16" s="12"/>
      <c r="K16" s="13"/>
      <c r="L16" s="14"/>
    </row>
    <row r="17" spans="1:12" x14ac:dyDescent="0.15">
      <c r="A17" s="9"/>
      <c r="B17" s="10"/>
      <c r="C17" s="10"/>
      <c r="D17" s="9"/>
      <c r="E17" s="10"/>
      <c r="F17" s="10"/>
      <c r="G17" s="10"/>
      <c r="H17" s="10"/>
      <c r="I17" s="15"/>
      <c r="J17" s="12"/>
      <c r="K17" s="13"/>
      <c r="L17" s="14"/>
    </row>
  </sheetData>
  <phoneticPr fontId="9"/>
  <conditionalFormatting sqref="K5:L8">
    <cfRule type="expression" dxfId="1" priority="1">
      <formula>$K5&lt;&gt;""</formula>
    </cfRule>
  </conditionalFormatting>
  <dataValidations count="3">
    <dataValidation type="list" allowBlank="1" sqref="K5 K7" xr:uid="{00000000-0002-0000-0100-000000000000}">
      <formula1>"a,b,c,Other"</formula1>
    </dataValidation>
    <dataValidation type="list" allowBlank="1" sqref="K6" xr:uid="{00000000-0002-0000-0100-000001000000}">
      <formula1>"a,b,c,d,Other"</formula1>
    </dataValidation>
    <dataValidation type="list" allowBlank="1" sqref="K8" xr:uid="{00000000-0002-0000-0100-000003000000}">
      <formula1>"a,b,Other"</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8"/>
  <sheetViews>
    <sheetView workbookViewId="0">
      <pane xSplit="2" ySplit="4" topLeftCell="C14" activePane="bottomRight" state="frozen"/>
      <selection activeCell="B14" sqref="B14"/>
      <selection pane="topRight" activeCell="B14" sqref="B14"/>
      <selection pane="bottomLeft" activeCell="B14" sqref="B14"/>
      <selection pane="bottomRight" activeCell="B14" sqref="B14"/>
    </sheetView>
  </sheetViews>
  <sheetFormatPr defaultRowHeight="13.5" x14ac:dyDescent="0.15"/>
  <cols>
    <col min="1" max="1" width="5" customWidth="1"/>
    <col min="2" max="2" width="34" customWidth="1"/>
    <col min="3" max="3" width="62" customWidth="1"/>
    <col min="4" max="4" width="7" customWidth="1"/>
    <col min="5" max="5" width="13" customWidth="1"/>
    <col min="6" max="6" width="44" customWidth="1"/>
  </cols>
  <sheetData>
    <row r="1" spans="1:6" ht="18" customHeight="1" x14ac:dyDescent="0.25">
      <c r="A1" s="5" t="s">
        <v>65</v>
      </c>
    </row>
    <row r="2" spans="1:6" ht="14.25" customHeight="1" x14ac:dyDescent="0.2">
      <c r="A2" s="6" t="s">
        <v>17</v>
      </c>
      <c r="C2" s="6" t="str">
        <f>COUNTA(E5:E26)&amp;" of 22"</f>
        <v>22 of 22</v>
      </c>
    </row>
    <row r="4" spans="1:6" x14ac:dyDescent="0.15">
      <c r="A4" s="8" t="s">
        <v>18</v>
      </c>
      <c r="B4" s="8" t="s">
        <v>66</v>
      </c>
      <c r="C4" s="8" t="s">
        <v>67</v>
      </c>
      <c r="D4" s="8" t="s">
        <v>68</v>
      </c>
      <c r="E4" s="8" t="s">
        <v>69</v>
      </c>
      <c r="F4" s="8" t="s">
        <v>29</v>
      </c>
    </row>
    <row r="5" spans="1:6" ht="25.5" customHeight="1" x14ac:dyDescent="0.15">
      <c r="A5" s="10" t="s">
        <v>70</v>
      </c>
      <c r="B5" s="9" t="s">
        <v>71</v>
      </c>
      <c r="C5" s="10" t="s">
        <v>72</v>
      </c>
      <c r="D5" s="10" t="s">
        <v>73</v>
      </c>
      <c r="E5" s="16" t="s">
        <v>74</v>
      </c>
      <c r="F5" s="16"/>
    </row>
    <row r="6" spans="1:6" ht="38.25" customHeight="1" x14ac:dyDescent="0.15">
      <c r="A6" s="10" t="s">
        <v>75</v>
      </c>
      <c r="B6" s="9" t="s">
        <v>76</v>
      </c>
      <c r="C6" s="10" t="s">
        <v>77</v>
      </c>
      <c r="D6" s="10" t="s">
        <v>73</v>
      </c>
      <c r="E6" s="16" t="s">
        <v>74</v>
      </c>
      <c r="F6" s="16"/>
    </row>
    <row r="7" spans="1:6" ht="38.25" customHeight="1" x14ac:dyDescent="0.15">
      <c r="A7" s="10" t="s">
        <v>78</v>
      </c>
      <c r="B7" s="9" t="s">
        <v>79</v>
      </c>
      <c r="C7" s="10" t="s">
        <v>80</v>
      </c>
      <c r="D7" s="10" t="s">
        <v>73</v>
      </c>
      <c r="E7" s="16" t="s">
        <v>74</v>
      </c>
      <c r="F7" s="16"/>
    </row>
    <row r="8" spans="1:6" ht="25.5" customHeight="1" x14ac:dyDescent="0.15">
      <c r="A8" s="10" t="s">
        <v>81</v>
      </c>
      <c r="B8" s="9" t="s">
        <v>82</v>
      </c>
      <c r="C8" s="10" t="s">
        <v>83</v>
      </c>
      <c r="D8" s="10" t="s">
        <v>84</v>
      </c>
      <c r="E8" s="16" t="s">
        <v>85</v>
      </c>
      <c r="F8" s="16"/>
    </row>
    <row r="9" spans="1:6" ht="25.5" customHeight="1" x14ac:dyDescent="0.15">
      <c r="A9" s="10" t="s">
        <v>86</v>
      </c>
      <c r="B9" s="9" t="s">
        <v>87</v>
      </c>
      <c r="C9" s="10" t="s">
        <v>88</v>
      </c>
      <c r="D9" s="10" t="s">
        <v>89</v>
      </c>
      <c r="E9" s="16" t="s">
        <v>90</v>
      </c>
      <c r="F9" s="16"/>
    </row>
    <row r="10" spans="1:6" ht="25.5" customHeight="1" x14ac:dyDescent="0.15">
      <c r="A10" s="10" t="s">
        <v>91</v>
      </c>
      <c r="B10" s="9" t="s">
        <v>92</v>
      </c>
      <c r="C10" s="10" t="s">
        <v>93</v>
      </c>
      <c r="D10" s="10" t="s">
        <v>84</v>
      </c>
      <c r="E10" s="16" t="s">
        <v>90</v>
      </c>
      <c r="F10" s="16"/>
    </row>
    <row r="11" spans="1:6" ht="25.5" customHeight="1" x14ac:dyDescent="0.15">
      <c r="A11" s="10" t="s">
        <v>94</v>
      </c>
      <c r="B11" s="9" t="s">
        <v>95</v>
      </c>
      <c r="C11" s="10" t="s">
        <v>96</v>
      </c>
      <c r="D11" s="10" t="s">
        <v>84</v>
      </c>
      <c r="E11" s="16" t="s">
        <v>90</v>
      </c>
      <c r="F11" s="16"/>
    </row>
    <row r="12" spans="1:6" ht="25.5" customHeight="1" x14ac:dyDescent="0.15">
      <c r="A12" s="10" t="s">
        <v>97</v>
      </c>
      <c r="B12" s="9" t="s">
        <v>98</v>
      </c>
      <c r="C12" s="10" t="s">
        <v>99</v>
      </c>
      <c r="D12" s="10" t="s">
        <v>84</v>
      </c>
      <c r="E12" s="16" t="s">
        <v>90</v>
      </c>
      <c r="F12" s="16"/>
    </row>
    <row r="13" spans="1:6" ht="25.5" customHeight="1" x14ac:dyDescent="0.15">
      <c r="A13" s="10" t="s">
        <v>100</v>
      </c>
      <c r="B13" s="9" t="s">
        <v>101</v>
      </c>
      <c r="C13" s="10" t="s">
        <v>102</v>
      </c>
      <c r="D13" s="10" t="s">
        <v>73</v>
      </c>
      <c r="E13" s="16" t="s">
        <v>90</v>
      </c>
      <c r="F13" s="16"/>
    </row>
    <row r="14" spans="1:6" ht="25.5" customHeight="1" x14ac:dyDescent="0.15">
      <c r="A14" s="10" t="s">
        <v>103</v>
      </c>
      <c r="B14" s="9" t="s">
        <v>104</v>
      </c>
      <c r="C14" s="10" t="s">
        <v>105</v>
      </c>
      <c r="D14" s="10" t="s">
        <v>89</v>
      </c>
      <c r="E14" s="16" t="s">
        <v>90</v>
      </c>
      <c r="F14" s="16"/>
    </row>
    <row r="15" spans="1:6" ht="25.5" customHeight="1" x14ac:dyDescent="0.15">
      <c r="A15" s="10" t="s">
        <v>106</v>
      </c>
      <c r="B15" s="9" t="s">
        <v>107</v>
      </c>
      <c r="C15" s="10" t="s">
        <v>108</v>
      </c>
      <c r="D15" s="10" t="s">
        <v>73</v>
      </c>
      <c r="E15" s="16" t="s">
        <v>90</v>
      </c>
      <c r="F15" s="16"/>
    </row>
    <row r="16" spans="1:6" ht="25.5" customHeight="1" x14ac:dyDescent="0.15">
      <c r="A16" s="10" t="s">
        <v>109</v>
      </c>
      <c r="B16" s="9" t="s">
        <v>110</v>
      </c>
      <c r="C16" s="10" t="s">
        <v>111</v>
      </c>
      <c r="D16" s="10" t="s">
        <v>84</v>
      </c>
      <c r="E16" s="16" t="s">
        <v>90</v>
      </c>
      <c r="F16" s="16"/>
    </row>
    <row r="17" spans="1:6" ht="25.5" customHeight="1" x14ac:dyDescent="0.15">
      <c r="A17" s="10" t="s">
        <v>112</v>
      </c>
      <c r="B17" s="9" t="s">
        <v>113</v>
      </c>
      <c r="C17" s="10" t="s">
        <v>114</v>
      </c>
      <c r="D17" s="10" t="s">
        <v>89</v>
      </c>
      <c r="E17" s="16" t="s">
        <v>90</v>
      </c>
      <c r="F17" s="16"/>
    </row>
    <row r="18" spans="1:6" ht="25.5" customHeight="1" x14ac:dyDescent="0.15">
      <c r="A18" s="10" t="s">
        <v>115</v>
      </c>
      <c r="B18" s="9" t="s">
        <v>116</v>
      </c>
      <c r="C18" s="10" t="s">
        <v>117</v>
      </c>
      <c r="D18" s="10" t="s">
        <v>73</v>
      </c>
      <c r="E18" s="16" t="s">
        <v>90</v>
      </c>
      <c r="F18" s="16"/>
    </row>
    <row r="19" spans="1:6" ht="25.5" customHeight="1" x14ac:dyDescent="0.15">
      <c r="A19" s="10" t="s">
        <v>118</v>
      </c>
      <c r="B19" s="9" t="s">
        <v>119</v>
      </c>
      <c r="C19" s="10" t="s">
        <v>120</v>
      </c>
      <c r="D19" s="10" t="s">
        <v>73</v>
      </c>
      <c r="E19" s="16" t="s">
        <v>90</v>
      </c>
      <c r="F19" s="16"/>
    </row>
    <row r="20" spans="1:6" ht="38.25" customHeight="1" x14ac:dyDescent="0.15">
      <c r="A20" s="10" t="s">
        <v>59</v>
      </c>
      <c r="B20" s="9" t="s">
        <v>121</v>
      </c>
      <c r="C20" s="10" t="s">
        <v>122</v>
      </c>
      <c r="D20" s="10" t="s">
        <v>84</v>
      </c>
      <c r="E20" s="16" t="s">
        <v>90</v>
      </c>
      <c r="F20" s="16"/>
    </row>
    <row r="21" spans="1:6" ht="25.5" customHeight="1" x14ac:dyDescent="0.15">
      <c r="A21" s="10" t="s">
        <v>123</v>
      </c>
      <c r="B21" s="9" t="s">
        <v>124</v>
      </c>
      <c r="C21" s="10" t="s">
        <v>125</v>
      </c>
      <c r="D21" s="10" t="s">
        <v>89</v>
      </c>
      <c r="E21" s="16" t="s">
        <v>90</v>
      </c>
      <c r="F21" s="16"/>
    </row>
    <row r="22" spans="1:6" ht="38.25" customHeight="1" x14ac:dyDescent="0.15">
      <c r="A22" s="10" t="s">
        <v>50</v>
      </c>
      <c r="B22" s="9" t="s">
        <v>126</v>
      </c>
      <c r="C22" s="10" t="s">
        <v>127</v>
      </c>
      <c r="D22" s="10" t="s">
        <v>84</v>
      </c>
      <c r="E22" s="16" t="s">
        <v>90</v>
      </c>
      <c r="F22" s="16"/>
    </row>
    <row r="23" spans="1:6" ht="38.25" customHeight="1" x14ac:dyDescent="0.15">
      <c r="A23" s="10" t="s">
        <v>128</v>
      </c>
      <c r="B23" s="9" t="s">
        <v>129</v>
      </c>
      <c r="C23" s="10" t="s">
        <v>130</v>
      </c>
      <c r="D23" s="10" t="s">
        <v>89</v>
      </c>
      <c r="E23" s="16" t="s">
        <v>90</v>
      </c>
      <c r="F23" s="16"/>
    </row>
    <row r="24" spans="1:6" ht="25.5" customHeight="1" x14ac:dyDescent="0.15">
      <c r="A24" s="10" t="s">
        <v>131</v>
      </c>
      <c r="B24" s="9" t="s">
        <v>132</v>
      </c>
      <c r="C24" s="10" t="s">
        <v>133</v>
      </c>
      <c r="D24" s="10" t="s">
        <v>89</v>
      </c>
      <c r="E24" s="16" t="s">
        <v>134</v>
      </c>
      <c r="F24" s="16"/>
    </row>
    <row r="25" spans="1:6" ht="25.5" customHeight="1" x14ac:dyDescent="0.15">
      <c r="A25" s="10" t="s">
        <v>135</v>
      </c>
      <c r="B25" s="9" t="s">
        <v>136</v>
      </c>
      <c r="C25" s="10" t="s">
        <v>137</v>
      </c>
      <c r="D25" s="10" t="s">
        <v>73</v>
      </c>
      <c r="E25" s="16" t="s">
        <v>134</v>
      </c>
      <c r="F25" s="16"/>
    </row>
    <row r="26" spans="1:6" ht="25.5" customHeight="1" x14ac:dyDescent="0.15">
      <c r="A26" s="10" t="s">
        <v>138</v>
      </c>
      <c r="B26" s="9" t="s">
        <v>139</v>
      </c>
      <c r="C26" s="10" t="s">
        <v>140</v>
      </c>
      <c r="D26" s="10" t="s">
        <v>73</v>
      </c>
      <c r="E26" s="16" t="s">
        <v>134</v>
      </c>
      <c r="F26" s="16"/>
    </row>
    <row r="28" spans="1:6" x14ac:dyDescent="0.15">
      <c r="B28" s="17" t="s">
        <v>141</v>
      </c>
    </row>
  </sheetData>
  <phoneticPr fontId="9"/>
  <conditionalFormatting sqref="E5:F26">
    <cfRule type="expression" dxfId="0" priority="1">
      <formula>$E5&lt;&gt;""</formula>
    </cfRule>
  </conditionalFormatting>
  <dataValidations count="1">
    <dataValidation type="list" allowBlank="1" sqref="E5:E26" xr:uid="{00000000-0002-0000-0200-000000000000}">
      <formula1>"Now,Next,Later,Never,Done"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Read me</vt:lpstr>
      <vt:lpstr>Poll</vt:lpstr>
      <vt:lpstr>Priorities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コンスタンティン ミハイロフ</cp:lastModifiedBy>
  <dcterms:created xsi:type="dcterms:W3CDTF">2026-10-22T16:19:35Z</dcterms:created>
  <dcterms:modified xsi:type="dcterms:W3CDTF">2026-10-28T02:17:15Z</dcterms:modified>
</cp:coreProperties>
</file>