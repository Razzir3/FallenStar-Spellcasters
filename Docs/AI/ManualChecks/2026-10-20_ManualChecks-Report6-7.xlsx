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ManualChecks\"/>
    </mc:Choice>
  </mc:AlternateContent>
  <xr:revisionPtr revIDLastSave="0" documentId="13_ncr:1_{2166DD6D-D458-4404-87B0-5B3408387721}" xr6:coauthVersionLast="47" xr6:coauthVersionMax="47" xr10:uidLastSave="{00000000-0000-0000-0000-000000000000}"/>
  <bookViews>
    <workbookView xWindow="6765" yWindow="2085" windowWidth="28800" windowHeight="17145" activeTab="1" xr2:uid="{00000000-000D-0000-FFFF-FFFF00000000}"/>
  </bookViews>
  <sheets>
    <sheet name="Read me" sheetId="1" r:id="rId1"/>
    <sheet name="Checklist" sheetId="2" r:id="rId2"/>
    <sheet name="Summary" sheetId="3" r:id="rId3"/>
    <sheet name="Temp changes" sheetId="4" r:id="rId4"/>
    <sheet name="Known issues" sheetId="5" r:id="rId5"/>
  </sheets>
  <definedNames>
    <definedName name="_xlnm._FilterDatabase" localSheetId="1" hidden="1">Checklist!$A$3:$N$130</definedName>
    <definedName name="_xlnm.Print_Titles" localSheetId="1">Checklist!$3:$3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4" l="1"/>
  <c r="L47" i="3"/>
  <c r="J47" i="3"/>
  <c r="I47" i="3"/>
  <c r="H47" i="3"/>
  <c r="G47" i="3"/>
  <c r="F47" i="3"/>
  <c r="E47" i="3"/>
  <c r="L46" i="3"/>
  <c r="J46" i="3"/>
  <c r="I46" i="3"/>
  <c r="H46" i="3"/>
  <c r="G46" i="3"/>
  <c r="F46" i="3"/>
  <c r="E46" i="3"/>
  <c r="L45" i="3"/>
  <c r="J45" i="3"/>
  <c r="I45" i="3"/>
  <c r="H45" i="3"/>
  <c r="G45" i="3"/>
  <c r="F45" i="3"/>
  <c r="E45" i="3"/>
  <c r="L40" i="3"/>
  <c r="J40" i="3"/>
  <c r="I40" i="3"/>
  <c r="H40" i="3"/>
  <c r="G40" i="3"/>
  <c r="F40" i="3"/>
  <c r="E40" i="3"/>
  <c r="L39" i="3"/>
  <c r="J39" i="3"/>
  <c r="I39" i="3"/>
  <c r="H39" i="3"/>
  <c r="G39" i="3"/>
  <c r="F39" i="3"/>
  <c r="E39" i="3"/>
  <c r="L38" i="3"/>
  <c r="J38" i="3"/>
  <c r="I38" i="3"/>
  <c r="H38" i="3"/>
  <c r="G38" i="3"/>
  <c r="F38" i="3"/>
  <c r="E38" i="3"/>
  <c r="L37" i="3"/>
  <c r="J37" i="3"/>
  <c r="I37" i="3"/>
  <c r="H37" i="3"/>
  <c r="G37" i="3"/>
  <c r="F37" i="3"/>
  <c r="E37" i="3"/>
  <c r="L36" i="3"/>
  <c r="J36" i="3"/>
  <c r="I36" i="3"/>
  <c r="H36" i="3"/>
  <c r="G36" i="3"/>
  <c r="F36" i="3"/>
  <c r="E36" i="3"/>
  <c r="L35" i="3"/>
  <c r="J35" i="3"/>
  <c r="I35" i="3"/>
  <c r="H35" i="3"/>
  <c r="G35" i="3"/>
  <c r="F35" i="3"/>
  <c r="E35" i="3"/>
  <c r="L34" i="3"/>
  <c r="J34" i="3"/>
  <c r="I34" i="3"/>
  <c r="H34" i="3"/>
  <c r="G34" i="3"/>
  <c r="F34" i="3"/>
  <c r="E34" i="3"/>
  <c r="L33" i="3"/>
  <c r="J33" i="3"/>
  <c r="I33" i="3"/>
  <c r="H33" i="3"/>
  <c r="G33" i="3"/>
  <c r="F33" i="3"/>
  <c r="E33" i="3"/>
  <c r="L32" i="3"/>
  <c r="J32" i="3"/>
  <c r="I32" i="3"/>
  <c r="H32" i="3"/>
  <c r="G32" i="3"/>
  <c r="F32" i="3"/>
  <c r="E32" i="3"/>
  <c r="L31" i="3"/>
  <c r="J31" i="3"/>
  <c r="I31" i="3"/>
  <c r="H31" i="3"/>
  <c r="G31" i="3"/>
  <c r="F31" i="3"/>
  <c r="E31" i="3"/>
  <c r="L30" i="3"/>
  <c r="J30" i="3"/>
  <c r="I30" i="3"/>
  <c r="H30" i="3"/>
  <c r="G30" i="3"/>
  <c r="F30" i="3"/>
  <c r="E30" i="3"/>
  <c r="L29" i="3"/>
  <c r="J29" i="3"/>
  <c r="I29" i="3"/>
  <c r="H29" i="3"/>
  <c r="G29" i="3"/>
  <c r="F29" i="3"/>
  <c r="E29" i="3"/>
  <c r="L28" i="3"/>
  <c r="J28" i="3"/>
  <c r="I28" i="3"/>
  <c r="H28" i="3"/>
  <c r="G28" i="3"/>
  <c r="F28" i="3"/>
  <c r="E28" i="3"/>
  <c r="L27" i="3"/>
  <c r="J27" i="3"/>
  <c r="I27" i="3"/>
  <c r="H27" i="3"/>
  <c r="G27" i="3"/>
  <c r="F27" i="3"/>
  <c r="E27" i="3"/>
  <c r="L26" i="3"/>
  <c r="J26" i="3"/>
  <c r="I26" i="3"/>
  <c r="H26" i="3"/>
  <c r="G26" i="3"/>
  <c r="F26" i="3"/>
  <c r="E26" i="3"/>
  <c r="L25" i="3"/>
  <c r="J25" i="3"/>
  <c r="I25" i="3"/>
  <c r="H25" i="3"/>
  <c r="G25" i="3"/>
  <c r="F25" i="3"/>
  <c r="E25" i="3"/>
  <c r="L24" i="3"/>
  <c r="J24" i="3"/>
  <c r="I24" i="3"/>
  <c r="H24" i="3"/>
  <c r="G24" i="3"/>
  <c r="F24" i="3"/>
  <c r="E24" i="3"/>
  <c r="L23" i="3"/>
  <c r="J23" i="3"/>
  <c r="I23" i="3"/>
  <c r="H23" i="3"/>
  <c r="G23" i="3"/>
  <c r="F23" i="3"/>
  <c r="E23" i="3"/>
  <c r="L22" i="3"/>
  <c r="J22" i="3"/>
  <c r="I22" i="3"/>
  <c r="H22" i="3"/>
  <c r="G22" i="3"/>
  <c r="F22" i="3"/>
  <c r="E22" i="3"/>
  <c r="L21" i="3"/>
  <c r="J21" i="3"/>
  <c r="I21" i="3"/>
  <c r="H21" i="3"/>
  <c r="G21" i="3"/>
  <c r="F21" i="3"/>
  <c r="E21" i="3"/>
  <c r="L20" i="3"/>
  <c r="J20" i="3"/>
  <c r="I20" i="3"/>
  <c r="H20" i="3"/>
  <c r="G20" i="3"/>
  <c r="F20" i="3"/>
  <c r="E20" i="3"/>
  <c r="L19" i="3"/>
  <c r="J19" i="3"/>
  <c r="I19" i="3"/>
  <c r="H19" i="3"/>
  <c r="G19" i="3"/>
  <c r="F19" i="3"/>
  <c r="E19" i="3"/>
  <c r="L18" i="3"/>
  <c r="J18" i="3"/>
  <c r="I18" i="3"/>
  <c r="H18" i="3"/>
  <c r="G18" i="3"/>
  <c r="F18" i="3"/>
  <c r="E18" i="3"/>
  <c r="L17" i="3"/>
  <c r="J17" i="3"/>
  <c r="I17" i="3"/>
  <c r="H17" i="3"/>
  <c r="G17" i="3"/>
  <c r="F17" i="3"/>
  <c r="E17" i="3"/>
  <c r="L16" i="3"/>
  <c r="J16" i="3"/>
  <c r="I16" i="3"/>
  <c r="H16" i="3"/>
  <c r="G16" i="3"/>
  <c r="F16" i="3"/>
  <c r="E16" i="3"/>
  <c r="L15" i="3"/>
  <c r="J15" i="3"/>
  <c r="I15" i="3"/>
  <c r="H15" i="3"/>
  <c r="G15" i="3"/>
  <c r="F15" i="3"/>
  <c r="E15" i="3"/>
  <c r="L14" i="3"/>
  <c r="J14" i="3"/>
  <c r="I14" i="3"/>
  <c r="H14" i="3"/>
  <c r="G14" i="3"/>
  <c r="F14" i="3"/>
  <c r="E14" i="3"/>
  <c r="L13" i="3"/>
  <c r="J13" i="3"/>
  <c r="I13" i="3"/>
  <c r="H13" i="3"/>
  <c r="G13" i="3"/>
  <c r="F13" i="3"/>
  <c r="E13" i="3"/>
  <c r="L12" i="3"/>
  <c r="J12" i="3"/>
  <c r="I12" i="3"/>
  <c r="H12" i="3"/>
  <c r="G12" i="3"/>
  <c r="F12" i="3"/>
  <c r="E12" i="3"/>
  <c r="L11" i="3"/>
  <c r="J11" i="3"/>
  <c r="I11" i="3"/>
  <c r="H11" i="3"/>
  <c r="G11" i="3"/>
  <c r="F11" i="3"/>
  <c r="E11" i="3"/>
  <c r="L10" i="3"/>
  <c r="J10" i="3"/>
  <c r="I10" i="3"/>
  <c r="H10" i="3"/>
  <c r="G10" i="3"/>
  <c r="F10" i="3"/>
  <c r="E10" i="3"/>
  <c r="L9" i="3"/>
  <c r="J9" i="3"/>
  <c r="I9" i="3"/>
  <c r="H9" i="3"/>
  <c r="G9" i="3"/>
  <c r="F9" i="3"/>
  <c r="E9" i="3"/>
  <c r="L8" i="3"/>
  <c r="J8" i="3"/>
  <c r="I8" i="3"/>
  <c r="H8" i="3"/>
  <c r="G8" i="3"/>
  <c r="F8" i="3"/>
  <c r="E8" i="3"/>
  <c r="L7" i="3"/>
  <c r="J7" i="3"/>
  <c r="I7" i="3"/>
  <c r="H7" i="3"/>
  <c r="G7" i="3"/>
  <c r="F7" i="3"/>
  <c r="E7" i="3"/>
  <c r="L6" i="3"/>
  <c r="J6" i="3"/>
  <c r="I6" i="3"/>
  <c r="H6" i="3"/>
  <c r="G6" i="3"/>
  <c r="F6" i="3"/>
  <c r="E6" i="3"/>
  <c r="L5" i="3"/>
  <c r="J5" i="3"/>
  <c r="I5" i="3"/>
  <c r="H5" i="3"/>
  <c r="G5" i="3"/>
  <c r="F5" i="3"/>
  <c r="E5" i="3"/>
  <c r="F41" i="3" l="1"/>
  <c r="N45" i="3"/>
  <c r="J41" i="3"/>
  <c r="G41" i="3"/>
  <c r="N35" i="3"/>
  <c r="N20" i="3"/>
  <c r="N18" i="3"/>
  <c r="M10" i="3"/>
  <c r="K45" i="3"/>
  <c r="M45" i="3"/>
  <c r="N39" i="3"/>
  <c r="N38" i="3"/>
  <c r="N28" i="3"/>
  <c r="N27" i="3"/>
  <c r="I41" i="3"/>
  <c r="N25" i="3"/>
  <c r="N23" i="3"/>
  <c r="N14" i="3"/>
  <c r="N13" i="3"/>
  <c r="N22" i="3"/>
  <c r="N12" i="3"/>
  <c r="K10" i="3"/>
  <c r="N30" i="3"/>
  <c r="N7" i="3"/>
  <c r="L41" i="3"/>
  <c r="N47" i="3"/>
  <c r="N33" i="3"/>
  <c r="N46" i="3"/>
  <c r="N40" i="3"/>
  <c r="N29" i="3"/>
  <c r="N37" i="3"/>
  <c r="N32" i="3"/>
  <c r="N6" i="3"/>
  <c r="N10" i="3"/>
  <c r="N34" i="3"/>
  <c r="N9" i="3"/>
  <c r="N26" i="3"/>
  <c r="N24" i="3"/>
  <c r="N19" i="3"/>
  <c r="N17" i="3"/>
  <c r="N16" i="3"/>
  <c r="N15" i="3"/>
  <c r="N8" i="3"/>
  <c r="K22" i="3"/>
  <c r="M22" i="3"/>
  <c r="M12" i="3"/>
  <c r="K12" i="3"/>
  <c r="K47" i="3"/>
  <c r="M47" i="3"/>
  <c r="M46" i="3"/>
  <c r="K46" i="3"/>
  <c r="M40" i="3"/>
  <c r="K40" i="3"/>
  <c r="K39" i="3"/>
  <c r="M39" i="3"/>
  <c r="M38" i="3"/>
  <c r="K38" i="3"/>
  <c r="M37" i="3"/>
  <c r="K37" i="3"/>
  <c r="M36" i="3"/>
  <c r="K36" i="3"/>
  <c r="N36" i="3"/>
  <c r="M35" i="3"/>
  <c r="K35" i="3"/>
  <c r="M34" i="3"/>
  <c r="K34" i="3"/>
  <c r="M33" i="3"/>
  <c r="K33" i="3"/>
  <c r="M32" i="3"/>
  <c r="K32" i="3"/>
  <c r="N31" i="3"/>
  <c r="M31" i="3"/>
  <c r="K31" i="3"/>
  <c r="K30" i="3"/>
  <c r="M30" i="3"/>
  <c r="M29" i="3"/>
  <c r="K29" i="3"/>
  <c r="M28" i="3"/>
  <c r="K28" i="3"/>
  <c r="K27" i="3"/>
  <c r="M27" i="3"/>
  <c r="K26" i="3"/>
  <c r="M26" i="3"/>
  <c r="K25" i="3"/>
  <c r="M25" i="3"/>
  <c r="K24" i="3"/>
  <c r="M24" i="3"/>
  <c r="M23" i="3"/>
  <c r="K23" i="3"/>
  <c r="N21" i="3"/>
  <c r="M21" i="3"/>
  <c r="K21" i="3"/>
  <c r="M20" i="3"/>
  <c r="K20" i="3"/>
  <c r="M19" i="3"/>
  <c r="K19" i="3"/>
  <c r="M18" i="3"/>
  <c r="K18" i="3"/>
  <c r="M17" i="3"/>
  <c r="K17" i="3"/>
  <c r="M16" i="3"/>
  <c r="K16" i="3"/>
  <c r="M15" i="3"/>
  <c r="K15" i="3"/>
  <c r="K14" i="3"/>
  <c r="M14" i="3"/>
  <c r="M13" i="3"/>
  <c r="K13" i="3"/>
  <c r="N11" i="3"/>
  <c r="M11" i="3"/>
  <c r="K11" i="3"/>
  <c r="K9" i="3"/>
  <c r="M9" i="3"/>
  <c r="M8" i="3"/>
  <c r="K8" i="3"/>
  <c r="M7" i="3"/>
  <c r="K7" i="3"/>
  <c r="M6" i="3"/>
  <c r="K6" i="3"/>
  <c r="H41" i="3"/>
  <c r="N5" i="3"/>
  <c r="E41" i="3"/>
  <c r="M5" i="3"/>
  <c r="K5" i="3"/>
  <c r="N41" i="3" l="1"/>
  <c r="M41" i="3"/>
  <c r="E49" i="3"/>
  <c r="K41" i="3"/>
</calcChain>
</file>

<file path=xl/sharedStrings.xml><?xml version="1.0" encoding="utf-8"?>
<sst xmlns="http://schemas.openxmlformats.org/spreadsheetml/2006/main" count="1821" uniqueCount="718">
  <si>
    <t>Manual two-player checklist: Issue Reports #6 and #7</t>
  </si>
  <si>
    <t>About</t>
  </si>
  <si>
    <t>Date / baseline</t>
  </si>
  <si>
    <t>2026-10-20. HEAD = b7e7b91 ('current medium task completed'). Line numbers in the code edits are at this commit.</t>
  </si>
  <si>
    <t>Sources</t>
  </si>
  <si>
    <t>Issue Report #6 §5 step 1 and its checklist Docs/AI/ManualChecks/2026-10-19_ManualChecks-Report6.md; Issue Report #7 §5 step 1 and §9 of the 13 removed specs (git show b7e7b91:Docs/AI/Tasks/&lt;file&gt;).</t>
  </si>
  <si>
    <t>Why</t>
  </si>
  <si>
    <t>None of the gameplay fixes from reports #6 and #7 has been seen in a real two-player match yet (report #7 summary). This is the main open item, together with one fresh player build (U1).</t>
  </si>
  <si>
    <t>Who runs it</t>
  </si>
  <si>
    <t>The developer, in the Unity Editor with the ParrelSync clone. These checks need two running instances, so the AI agents can't run them.</t>
  </si>
  <si>
    <t>Order</t>
  </si>
  <si>
    <t>A first: no changes, and it covers most of the risk. Then B (temporary Inspector and asset changes) and C (temporary code edits); revert both on the Temp changes sheet. D (player build) last, after every revert.</t>
  </si>
  <si>
    <t>How to report</t>
  </si>
  <si>
    <t>1. Set Status on every row of the Checklist sheet. The Summary sheet updates by itself.
2. For every Fail, paste the Console text (error plus stack trace) into 'Console output / notes'. Clear on Play is on, so copy it before you press Play again.
3. Tell Claude when you're done. Claude then updates the report and writes fix specs if needed.</t>
  </si>
  <si>
    <t>Legend</t>
  </si>
  <si>
    <t>Cells to fill in</t>
  </si>
  <si>
    <t>Only the yellow cells: Checklist → Status, Tested by, Date, Console output / notes; Temp changes → Applied, Reverted. Everything else is reference text or formulas.</t>
  </si>
  <si>
    <t>Pass</t>
  </si>
  <si>
    <t>Every expected result in the row was seen.</t>
  </si>
  <si>
    <t>Fail</t>
  </si>
  <si>
    <t>At least one expected result wasn't seen, or a new error appeared. Add the Console text.</t>
  </si>
  <si>
    <t>Blocked</t>
  </si>
  <si>
    <t>The row couldn't be run (e.g. an earlier failure, no Clarity drawn, network needed). Say why in the notes.</t>
  </si>
  <si>
    <t>Not run</t>
  </si>
  <si>
    <t>Skipped on purpose. Fine for optional rows; for a required row it keeps the group open.</t>
  </si>
  <si>
    <t>N/A</t>
  </si>
  <si>
    <t>Doesn't apply in this setup. Counts like a Pass for the group result.</t>
  </si>
  <si>
    <t>Optional = Yes</t>
  </si>
  <si>
    <t>Optional rows don't hold back a group's Pass result.</t>
  </si>
  <si>
    <t>Grey text</t>
  </si>
  <si>
    <t>In a group's second and later rows, Check / Covers / Report / Run as / Temp change repeat the first row so that filtering works. 'Steps' on those rows only adds the row's own variant.</t>
  </si>
  <si>
    <t>Example of a filled row</t>
  </si>
  <si>
    <t>ID / Status</t>
  </si>
  <si>
    <t>A2.2  →  Fail</t>
  </si>
  <si>
    <t>Tested by / Date</t>
  </si>
  <si>
    <t>Host window  /  2026-10-21</t>
  </si>
  <si>
    <t>Console output / notes</t>
  </si>
  <si>
    <t>The Turn resumed from 0, not from about 20. Console: &lt;paste the error and stack trace here&gt;.</t>
  </si>
  <si>
    <t>Preparation</t>
  </si>
  <si>
    <t>1. Two Editors</t>
  </si>
  <si>
    <t>Open the main project. Open the clone with ParrelSync → Clones Manager → Open in New Editor. The clone shares Assets, so make every temporary change in the main project only.</t>
  </si>
  <si>
    <t>2. Console</t>
  </si>
  <si>
    <t>In both Editors, open the Console: Collapse off, Clear on Play on.</t>
  </si>
  <si>
    <t>3. Clean start</t>
  </si>
  <si>
    <t>git status shows no changes to the files on the Temp changes sheet. Both windows are in English (main menu → Settings).</t>
  </si>
  <si>
    <t>4. Start a match</t>
  </si>
  <si>
    <t>Log in and go to the Lobby in both windows. Window 1 presses Create Lobby: from now on it's the host window. Window 2 presses Find Lobby, selects the lobby and presses Join: it's the client window. The host presses Start game.</t>
  </si>
  <si>
    <t>5. Phase log</t>
  </si>
  <si>
    <t>GameMasterPrefab has m_debugMode = 1, so the host Console logs every phase: 'Round break phase started', 'DrawPhase started', 'Card selection phase started.', 'Player Action phase started', 'Waiting for Respawn', 'GameMaster: match ended …'.</t>
  </si>
  <si>
    <t>Useful facts</t>
  </si>
  <si>
    <t>Phases (en)</t>
  </si>
  <si>
    <t>'Round preparation' (5 s). It still shows during card dealing (~3 s), because the game never switches to a draw phase. Then 'Card Selection' (60 s), 'Turn' (60 s per player) and 'Waiting for respawn' (30 s). The timer counts up (elapsed seconds).</t>
  </si>
  <si>
    <t>Turn order</t>
  </si>
  <si>
    <t>The player whose selected cards (play and discard) cost more goes first. To go second, select fewer or cheaper cards than the opponent.</t>
  </si>
  <si>
    <t>Controls</t>
  </si>
  <si>
    <t>Hand cards: left-click = play, right-click = discard. Confirm turn confirms the selection in Card Selection, ends your Turn, and confirms the respawn block in Waiting for respawn.
Cast in your Turn: left-click a board card → click the target in the world → Confirm → Send.
W/A/S/D = one step (own Turn only). Space = −10 HP to yourself (debug, own Turn only).</t>
  </si>
  <si>
    <t>Cards</t>
  </si>
  <si>
    <t>Iceshard: 2 mana, 20 damage to the opponent's pony. Fireball: 3 mana, 50 damage to an opponent block (2 hits destroy a block). Clarity: 3 mana, draw 2. HealingHooves: 4 mana, heal yourself 30.</t>
  </si>
  <si>
    <t>Numbers</t>
  </si>
  <si>
    <t>Pony HP 100, block HP 100, 3 lives, 25 blocks per player. Mana 2 → 4 → 6 … up to 20. 2 new cards per player per round. Hand limit 10: over it, the oldest uncommitted cards are discarded.</t>
  </si>
  <si>
    <t>Kill a pony at any moment</t>
  </si>
  <si>
    <t>In the host window's Scene view, select the pony (PonyBase(Clone)) and drag it sideways off its platform, or add about 20 to its Transform Position X or Z. It falls into the lava and dies, in any phase. Host window only: the lava check runs on the server.</t>
  </si>
  <si>
    <t>Respawn</t>
  </si>
  <si>
    <t>In 'Waiting for respawn', the dead player clicks one of their own blocks and presses Confirm turn. With no choice, a random block is used after 30 s.</t>
  </si>
  <si>
    <t>Switch language</t>
  </si>
  <si>
    <t>Main menu → Settings (new in M12; the choice is remembered). In the lobby or during a match: Window → Asset Management → Localization Scene Controls → Active Locale.</t>
  </si>
  <si>
    <t>Changes from the report #6 checklist</t>
  </si>
  <si>
    <t>IDs</t>
  </si>
  <si>
    <t>Report #6's IDs (A1–A13, B1–B4, C1–C4, D) are unchanged. Report #7 adds A14–A21, B5–B8, C5–C7 and three rows in D.</t>
  </si>
  <si>
    <t>Now fixed</t>
  </si>
  <si>
    <t>The N20 Send NullReferenceException, the M10 LobbyService exception and the CS0114 warning were 'known issues' in report #6. They're fixed now: mark the row Fail if you see them (Known issues sheet, second table).</t>
  </si>
  <si>
    <t>B1 (deck refill)</t>
  </si>
  <si>
    <t>Since M15 the 10-card hand limit discards extra draws by itself, so the old 'discard about 10 cards' step is gone, and 'Hand limit reached…' messages are expected.</t>
  </si>
  <si>
    <t>Line numbers</t>
  </si>
  <si>
    <t>Updated to b7e7b91: MultiplayerManager.cs:1359 (C1), PlayerSession.cs:167 (C3) and :286-287 (C4). GameMaster.Spawn.cs:252/:254 (C2) is unchanged.</t>
  </si>
  <si>
    <t>B5.3 / B5.4 (M15)</t>
  </si>
  <si>
    <t>Differs from the spec's wording. Only uncommitted cards count toward the limit, and the hand is exactly at the limit after the deal. So a discard during Clarity happens only when Clarity is the only committed card (B5.3). With Clarity plus another waiting card, nothing is discarded (B5.4, optional).</t>
  </si>
  <si>
    <t>Baseline b7e7b91 (2026-10-20). Fill in only the yellow columns (Status, Tested by, Date, Console output / notes). Temp-change IDs (T1–T16) are on the Temp changes sheet; expected noise is on the Known issues sheet.</t>
  </si>
  <si>
    <t>ID</t>
  </si>
  <si>
    <t>Group</t>
  </si>
  <si>
    <t>Check</t>
  </si>
  <si>
    <t>Covers</t>
  </si>
  <si>
    <t>Report</t>
  </si>
  <si>
    <t>Run as</t>
  </si>
  <si>
    <t>Temp change</t>
  </si>
  <si>
    <t>Steps</t>
  </si>
  <si>
    <t>Expected result</t>
  </si>
  <si>
    <t>Optional</t>
  </si>
  <si>
    <t>Status</t>
  </si>
  <si>
    <t>Tested by</t>
  </si>
  <si>
    <t>Date</t>
  </si>
  <si>
    <t>A. Normal settings (no temporary changes)</t>
  </si>
  <si>
    <t>A1.1</t>
  </si>
  <si>
    <t>A1</t>
  </si>
  <si>
    <t>Baseline rounds and mana</t>
  </si>
  <si>
    <t>N18, MANA1–3, U12, M11</t>
  </si>
  <si>
    <t>#6</t>
  </si>
  <si>
    <t>Both</t>
  </si>
  <si>
    <t>—</t>
  </si>
  <si>
    <t>Start a match (Read me → Preparation). Play 3 rounds with no deaths. Check both windows, so the client is a real remote client (U12).</t>
  </si>
  <si>
    <t>Both windows show their own and the opponent's mana as 2/2 → 4/4 → 6/6 at the start of rounds 1–3.</t>
  </si>
  <si>
    <t>A1.2</t>
  </si>
  <si>
    <t>After a confirm, current mana goes down by the cost of the played cards, on both windows.</t>
  </si>
  <si>
    <t>A1.3</t>
  </si>
  <si>
    <t>Round 1 (2 mana): Fireball or Clarity (3) can't be selected to play (no highlight). Iceshard (2) can.</t>
  </si>
  <si>
    <t>A1.4</t>
  </si>
  <si>
    <t>Round 2 (4 mana): HealingHooves alone can be selected. HealingHooves + Iceshard can't.</t>
  </si>
  <si>
    <t>A1.5</t>
  </si>
  <si>
    <t>Discarding any number of cards (right-click) is allowed and costs no mana.</t>
  </si>
  <si>
    <t>A1.6</t>
  </si>
  <si>
    <t>Timing is as before: ~5 s preparation, ~3 s dealing; selection ends when both confirm or at 60 s.</t>
  </si>
  <si>
    <t>A1.7</t>
  </si>
  <si>
    <t>No errors except the ones on the Known issues sheet.</t>
  </si>
  <si>
    <t>A2.1</t>
  </si>
  <si>
    <t>A2</t>
  </si>
  <si>
    <t>Death in your own Turn: the timer resumes</t>
  </si>
  <si>
    <t>M1, N18_M1</t>
  </si>
  <si>
    <t>Either</t>
  </si>
  <si>
    <t>In your own Turn, wait until the timer shows about 20. Walk off the platform edge, or press Space 10 times. In 'Waiting for respawn', wait about 10 s, then pick a block and press Confirm turn.</t>
  </si>
  <si>
    <t>'Waiting for respawn' starts as soon as the pony dies.</t>
  </si>
  <si>
    <t>A2.2</t>
  </si>
  <si>
    <t>After the respawn, the same player's Turn continues from about 20 (not from 0, and not from about 10).</t>
  </si>
  <si>
    <t>A2.3</t>
  </si>
  <si>
    <t>The pony appears on the chosen block, and lives went from 3 to 2.</t>
  </si>
  <si>
    <t>A3.1</t>
  </si>
  <si>
    <t>A3</t>
  </si>
  <si>
    <t>Death during Round preparation</t>
  </si>
  <si>
    <t>N18</t>
  </si>
  <si>
    <t>Host (Scene view)</t>
  </si>
  <si>
    <t>During 'Round preparation', kill a pony through the host Scene view (Read me → Useful facts).
Without the Scene view trick: as the second player, walk off the edge and press Confirm turn at once, so the fall ends after your Turn.</t>
  </si>
  <si>
    <t>'Waiting for respawn' starts at once. It doesn't wait for the next Turn.</t>
  </si>
  <si>
    <t>A3.2</t>
  </si>
  <si>
    <t>After the respawn, 'Round preparation' continues from the time it had reached, then cards are dealt, then Card Selection starts.</t>
  </si>
  <si>
    <t>A3.3</t>
  </si>
  <si>
    <t>Mana grew only once this round. For example, round 2 shows 4/4, not 6/6.</t>
  </si>
  <si>
    <t>A4.1</t>
  </si>
  <si>
    <t>A4</t>
  </si>
  <si>
    <t>Death while cards are dealt</t>
  </si>
  <si>
    <t>T2 (optional)</t>
  </si>
  <si>
    <t>Right after 'Round preparation' reaches 5, the cards are dealt (~3 s; the host Console shows 'DrawPhase started'). Kill a pony in that window.
Optional: to widen the window, set GameMasterPrefab → m_cardDrawDelay = 3 (T2), and revert it afterwards.</t>
  </si>
  <si>
    <t>'Waiting for respawn' starts at once.</t>
  </si>
  <si>
    <t>A4.2</t>
  </si>
  <si>
    <t>After the respawn, the remaining cards are dealt. Each player gets exactly 2 new cards this round: none twice, none skipped.</t>
  </si>
  <si>
    <t>A5.1</t>
  </si>
  <si>
    <t>A5</t>
  </si>
  <si>
    <t>Death during Card Selection: selections are kept</t>
  </si>
  <si>
    <t>N18_M1</t>
  </si>
  <si>
    <t>1. In Card Selection, player A selects cards and presses Confirm turn.
2. Player B highlights 1 play card (left-click) and 1 discard card (right-click), but doesn't confirm.
3. Note the timer, then kill either pony.
4. Respawn.</t>
  </si>
  <si>
    <t>Card Selection continues from the noted time.</t>
  </si>
  <si>
    <t>A5.2</t>
  </si>
  <si>
    <t>B's two highlights are back, in their play and discard colors.</t>
  </si>
  <si>
    <t>A5.3</t>
  </si>
  <si>
    <t>A doesn't need to confirm again: the phase ends when B confirms.</t>
  </si>
  <si>
    <t>A5.4</t>
  </si>
  <si>
    <t>After B confirms, exactly the highlighted cards appear on B's board.</t>
  </si>
  <si>
    <t>A6.1</t>
  </si>
  <si>
    <t>A6</t>
  </si>
  <si>
    <t>A last-life death ends the match at once</t>
  </si>
  <si>
    <t>Bring one player down to 1 life with two earlier deaths (A2–A5 count). Then kill them again, once in 'Round preparation' or Card Selection. If you play more matches, also try a Turn.</t>
  </si>
  <si>
    <t>There's no 'Waiting for respawn'.</t>
  </si>
  <si>
    <t>A6.2</t>
  </si>
  <si>
    <t>Both windows go to the result screen right away, with the right titles and reasons ('You won' / 'You lost' plus the lives reason).</t>
  </si>
  <si>
    <t>A7.1</t>
  </si>
  <si>
    <t>A7</t>
  </si>
  <si>
    <t>Leave match: the client, during Card Selection</t>
  </si>
  <si>
    <t>N19, N1</t>
  </si>
  <si>
    <t>Client</t>
  </si>
  <si>
    <t>The client clicks Leave match → Cancel. Then Leave match → Leave.</t>
  </si>
  <si>
    <t>Cancel closes the dialog and nothing else changes.</t>
  </si>
  <si>
    <t>A7.2</t>
  </si>
  <si>
    <t>After Leave, the client sees 'You lost' + 'You left the match.', and the host sees 'You won' + 'Your opponent left the match.'</t>
  </si>
  <si>
    <t>A7.3</t>
  </si>
  <si>
    <t>Press Main menu on both windows, create a new lobby and start a new match. It works normally, with no errors.</t>
  </si>
  <si>
    <t>A8.1</t>
  </si>
  <si>
    <t>A8</t>
  </si>
  <si>
    <t>Leave match at other moments</t>
  </si>
  <si>
    <t>N19</t>
  </si>
  <si>
    <t>Run one match for each row.
(a) The host leaves during its own Turn.</t>
  </si>
  <si>
    <t>One result on both windows. The leaver loses. No errors.</t>
  </si>
  <si>
    <t>A8.2</t>
  </si>
  <si>
    <t>(b) Either player leaves during the opponent's Turn.</t>
  </si>
  <si>
    <t>A8.3</t>
  </si>
  <si>
    <t>(c1) During 'Waiting for respawn', the dead player leaves.</t>
  </si>
  <si>
    <t>A8.4</t>
  </si>
  <si>
    <t>(c2) During 'Waiting for respawn', the other player leaves.</t>
  </si>
  <si>
    <t>A8.5</t>
  </si>
  <si>
    <t>(d) Double-click Leave quickly.</t>
  </si>
  <si>
    <t>Only one result on both windows.</t>
  </si>
  <si>
    <t>A9.1</t>
  </si>
  <si>
    <t>A9</t>
  </si>
  <si>
    <t>The Leave dialog blocks clicks behind it</t>
  </si>
  <si>
    <t>Open the Leave dialog. Click hand cards, board cards, blocks and ponies through the dimmed background.</t>
  </si>
  <si>
    <t>Nothing gets selected or targeted. After Cancel the game continues normally.</t>
  </si>
  <si>
    <t>A9.2</t>
  </si>
  <si>
    <t>Game view at 16:9, then one other aspect ratio (e.g. 16:10 or 4:3).</t>
  </si>
  <si>
    <t>The Leave button doesn't cover the hand, the mana labels or the announcer.</t>
  </si>
  <si>
    <t>A10.1</t>
  </si>
  <si>
    <t>A10</t>
  </si>
  <si>
    <t>Languages in a match and on the result screen</t>
  </si>
  <si>
    <t>N19, MANA3, H10</t>
  </si>
  <si>
    <t>During a match, with the Leave dialog open, switch the locale to ru, then ja, then back to en (Window → Asset Management → Localization Scene Controls → Active Locale). Do the same on a result screen.</t>
  </si>
  <si>
    <t>The Leave button, dialog text, Leave and Cancel are translated and fit: no clipping, no □ boxes.</t>
  </si>
  <si>
    <t>A10.2</t>
  </si>
  <si>
    <t>The mana labels are translated.</t>
  </si>
  <si>
    <t>A10.3</t>
  </si>
  <si>
    <t>The result title and reason are translated, including 'You left the match.'</t>
  </si>
  <si>
    <t>A11.1</t>
  </si>
  <si>
    <t>A11</t>
  </si>
  <si>
    <t>A disconnect counts as a forfeit</t>
  </si>
  <si>
    <t>H6, U10</t>
  </si>
  <si>
    <t>Client leaves</t>
  </si>
  <si>
    <t>In separate matches, stop Play Mode in the client window at the moment named in each row.
(a) During 'Round preparation'.</t>
  </si>
  <si>
    <t>The host gets 'You won' + 'Your opponent left the match.' within a few seconds. No errors on the host.</t>
  </si>
  <si>
    <t>A11.2</t>
  </si>
  <si>
    <t>(b) During Card Selection.</t>
  </si>
  <si>
    <t>Same as (a).</t>
  </si>
  <si>
    <t>A11.3</t>
  </si>
  <si>
    <t>(c) During the host's Turn.</t>
  </si>
  <si>
    <t>A11.4</t>
  </si>
  <si>
    <t>(d) During the client's Turn.</t>
  </si>
  <si>
    <t>A11.5</t>
  </si>
  <si>
    <t>(e) During the client's 'Waiting for respawn' (kill the client pony first).</t>
  </si>
  <si>
    <t>A11.6</t>
  </si>
  <si>
    <t>(f) End the clone Editor's process in Task Manager instead of stopping Play Mode.</t>
  </si>
  <si>
    <t>The same result, but only after about 30 s (the transport timeout; expected). No errors on the host.</t>
  </si>
  <si>
    <t>A11.7</t>
  </si>
  <si>
    <t>(g) The client leaves in the lobby, before the match starts.</t>
  </si>
  <si>
    <t>No result screen, no errors.</t>
  </si>
  <si>
    <t>A12.1</t>
  </si>
  <si>
    <t>A12</t>
  </si>
  <si>
    <t>Nothing is left over after a match</t>
  </si>
  <si>
    <t>H7, U8</t>
  </si>
  <si>
    <t>After any result screen, press Main menu on both windows. Stay in Play Mode and check the Hierarchy, including DontDestroyOnLoad.</t>
  </si>
  <si>
    <t>No gameplay objects remain: no PonyBase(Clone), BlockBody(Clone), CardPrefab(Clone), PlayerSession objects or GameMaster. Only the app managers stay.</t>
  </si>
  <si>
    <t>A12.2</t>
  </si>
  <si>
    <t>A new lobby and match afterwards work, and nothing from the previous match is left.</t>
  </si>
  <si>
    <t>A13.1</t>
  </si>
  <si>
    <t>A13</t>
  </si>
  <si>
    <t>An honest full match has no suspicious-activity warnings</t>
  </si>
  <si>
    <t>SEC1, MANA2</t>
  </si>
  <si>
    <t>Host Console</t>
  </si>
  <si>
    <t>Play a full match to a normal end, then search the host Console for [Suspicious].</t>
  </si>
  <si>
    <t>0 results.</t>
  </si>
  <si>
    <t>A14.1</t>
  </si>
  <si>
    <t>A14</t>
  </si>
  <si>
    <t>Send is safe after a deselect or a pause</t>
  </si>
  <si>
    <t>N20</t>
  </si>
  <si>
    <t>#7</t>
  </si>
  <si>
    <t>Host, then client</t>
  </si>
  <si>
    <t>Run every row once as the host and once as the client. Cast: left-click a board card → click the target → Confirm → Send.
Normal casts: Fireball on an opponent block, Iceshard, HealingHooves, Clarity.</t>
  </si>
  <si>
    <t>All four resolve as before.</t>
  </si>
  <si>
    <t>A14.2</t>
  </si>
  <si>
    <t>Deselect: Fireball → block → Confirm → click Fireball again → Send. Then select it again → block → Confirm → Send.</t>
  </si>
  <si>
    <t>First Send: the warning 'Send ignored: no card target was confirmed.', no NullReferenceException, nothing is sent. Second Send: Fireball resolves.</t>
  </si>
  <si>
    <t>A14.3</t>
  </si>
  <si>
    <t>Pause: in player A's Turn, Fireball → block → Confirm. In the host Scene view, drag B's pony into the lava. B picks a respawn block and A's Turn resumes. A presses Send. Then select again → Confirm → Send.</t>
  </si>
  <si>
    <t>First Send: no exception, nothing is sent ('Send ignored: …' warning). Second Send: Fireball resolves.</t>
  </si>
  <si>
    <t>A14.4</t>
  </si>
  <si>
    <t>Send without Confirm: select a card, click a target, press Send without Confirm.</t>
  </si>
  <si>
    <t>Nothing happens. The host Console has no 'Card 0 was not found'.</t>
  </si>
  <si>
    <t>A15.1</t>
  </si>
  <si>
    <t>A15</t>
  </si>
  <si>
    <t>Card data and the hand view</t>
  </si>
  <si>
    <t>M14</t>
  </si>
  <si>
    <t>Normal match. Can be the same match as A14.</t>
  </si>
  <si>
    <t>Drawn cards appear in both windows (your own face up, the opponent's hidden). All four card types can be selected and cast. No exceptions.</t>
  </si>
  <si>
    <t>A15.2</t>
  </si>
  <si>
    <t>Cast Clarity in an action turn.</t>
  </si>
  <si>
    <t>The two drawn cards appear in the next Card Selection hand.</t>
  </si>
  <si>
    <t>A16.1</t>
  </si>
  <si>
    <t>A16</t>
  </si>
  <si>
    <t>Lava, debug key and card deaths</t>
  </si>
  <si>
    <t>M3, M6</t>
  </si>
  <si>
    <t>Normal match. Can be combined with A2–A6.
In the host Scene view, drag a pony into the lava. Respawn it, then drag it into the lava again.</t>
  </si>
  <si>
    <t>It dies once per fall (lives 3 → 2 → 1), the respawn works, and the respawned pony dies in the lava again.</t>
  </si>
  <si>
    <t>A16.2</t>
  </si>
  <si>
    <t>Press Space during your own Turn until HP reaches 0 (about 10 presses).</t>
  </si>
  <si>
    <t>One life is lost, then a respawn.</t>
  </si>
  <si>
    <t>A16.3</t>
  </si>
  <si>
    <t>Iceshard the opponent repeatedly until HP reaches 0.</t>
  </si>
  <si>
    <t>A16.4</t>
  </si>
  <si>
    <t>Respawn on the same block as before.</t>
  </si>
  <si>
    <t>The pony can stand there (the spawn point was freed).</t>
  </si>
  <si>
    <t>A17.1</t>
  </si>
  <si>
    <t>A17</t>
  </si>
  <si>
    <t>Movement in your own Turn</t>
  </si>
  <si>
    <t>M4</t>
  </si>
  <si>
    <t>During your own Turn, press W/A/S/D.
Move in the host window.</t>
  </si>
  <si>
    <t>Each step moves one tile.</t>
  </si>
  <si>
    <t>A17.2</t>
  </si>
  <si>
    <t>Move in the client window.</t>
  </si>
  <si>
    <t>A17.3</t>
  </si>
  <si>
    <t>Press W/A/S/D outside your own Turn, in both windows.</t>
  </si>
  <si>
    <t>The pony doesn't move (rejected).</t>
  </si>
  <si>
    <t>A18.1</t>
  </si>
  <si>
    <t>A18</t>
  </si>
  <si>
    <t>Lobby names and counts in each language</t>
  </si>
  <si>
    <t>M13</t>
  </si>
  <si>
    <t>Both windows start in en.
The host creates a lobby. The client refreshes the list.</t>
  </si>
  <si>
    <t>The item is named with the host's 6-character ID and shows 'Players: 1 / 2'.</t>
  </si>
  <si>
    <t>A18.2</t>
  </si>
  <si>
    <t>Switch the client's locale to ru, then ja (Localization Scene Controls).</t>
  </si>
  <si>
    <t>The count text changes language. The lobby name stays the same.</t>
  </si>
  <si>
    <t>A18.3</t>
  </si>
  <si>
    <t>The client selects and joins the lobby.</t>
  </si>
  <si>
    <t>Both panels show two 6-character IDs with the localized Host and Client roles. (The full ID under each name is N29: expected.)</t>
  </si>
  <si>
    <t>A18.4</t>
  </si>
  <si>
    <t>Keep the host in en and the client in ru (or ja) while both are in the lobby.</t>
  </si>
  <si>
    <t>Each window shows the count and roles in its own language. The IDs are the same in both windows.</t>
  </si>
  <si>
    <t>A18.5</t>
  </si>
  <si>
    <t>Start a match and play one round.</t>
  </si>
  <si>
    <t>No change in gameplay.</t>
  </si>
  <si>
    <t>A19.1</t>
  </si>
  <si>
    <t>A19</t>
  </si>
  <si>
    <t>Settings scene and language choice</t>
  </si>
  <si>
    <t>M12</t>
  </si>
  <si>
    <t>Single window</t>
  </si>
  <si>
    <t>Start Play Mode from LoginScene, as usual.
Log in → main menu → Settings. Pick Русский. Press Back.</t>
  </si>
  <si>
    <t>Title, label and Back switch to Russian at once. After Back, the main menu is in Russian.</t>
  </si>
  <si>
    <t>A19.2</t>
  </si>
  <si>
    <t>Go to the Lobby and create a lobby. Then leave.</t>
  </si>
  <si>
    <t>Lobby texts are in Russian.</t>
  </si>
  <si>
    <t>A19.3</t>
  </si>
  <si>
    <t>Settings → 日本語.</t>
  </si>
  <si>
    <t>Japanese glyphs render in the dropdown and the labels: no □ boxes.</t>
  </si>
  <si>
    <t>A19.4</t>
  </si>
  <si>
    <t>Stop Play Mode and start it again.</t>
  </si>
  <si>
    <t>Japanese is still active. Afterwards, set English back.</t>
  </si>
  <si>
    <t>A19.5</t>
  </si>
  <si>
    <t>Open Settings in the Game view at 16:9 and at one other resolution (e.g. 4:3 or 1280×1024).</t>
  </si>
  <si>
    <t>Title, language dropdown and Back are fully visible and usable: no clipping or overlap.</t>
  </si>
  <si>
    <t>A20.1</t>
  </si>
  <si>
    <t>A20</t>
  </si>
  <si>
    <t>Lobby and network failures are handled</t>
  </si>
  <si>
    <t>M10</t>
  </si>
  <si>
    <t>Rows 2–5 need the PC's network off (Wi-Fi off or cable out). Both Editors lose the network together. Turn it back on after each row.
Regression: create a lobby; the client refreshes and joins; start; play one round; leave.</t>
  </si>
  <si>
    <t>Same as before.</t>
  </si>
  <si>
    <t>A20.2</t>
  </si>
  <si>
    <t>Offline create: network off → Create Lobby. Then network on → Create Lobby again.</t>
  </si>
  <si>
    <t>One logged error and no 'unobserved exception' line. The search panel is still shown. The NetworkManager in the Hierarchy isn't listening (no host running). With the network back on, creating a lobby works.</t>
  </si>
  <si>
    <t>A20.3</t>
  </si>
  <si>
    <t>Offline refresh: with the network off, refresh the lobby list.</t>
  </si>
  <si>
    <t>An error log and the 'not found' status. Nothing unhandled.</t>
  </si>
  <si>
    <t>A20.4</t>
  </si>
  <si>
    <t>Heartbeat: host a lobby, turn the network off for about 20 s, then on again.</t>
  </si>
  <si>
    <t>Only heartbeat warnings, no exceptions.</t>
  </si>
  <si>
    <t>A20.5</t>
  </si>
  <si>
    <t>Join a deleted lobby: the client refreshes the list, then the host leaves the lobby, then the client clicks Join on the old entry.</t>
  </si>
  <si>
    <t>An error log. The client stays in the search panel and isn't connected.</t>
  </si>
  <si>
    <t>A21.1</t>
  </si>
  <si>
    <t>A21</t>
  </si>
  <si>
    <t>Compile state and repeated matches</t>
  </si>
  <si>
    <t>N1, M16, M11</t>
  </si>
  <si>
    <t>Let Unity recompile in the main project, then play in both windows.
Check the Console after the recompile.</t>
  </si>
  <si>
    <t>No CS0114 warning and no new errors or warnings. Only CS0414 (m_cardResolveDelay, N4) remains.</t>
  </si>
  <si>
    <t>A21.2</t>
  </si>
  <si>
    <t>Play a match to the end → result screen → Main menu → Lobby → a new match → end.</t>
  </si>
  <si>
    <t>No errors or warnings that mention SessionManager.</t>
  </si>
  <si>
    <t>A21.3</t>
  </si>
  <si>
    <t>Play a match, leave with the Leave button, return to the main menu, start another match (can be the same run as A7).</t>
  </si>
  <si>
    <t>No errors.</t>
  </si>
  <si>
    <t>B. Temporary Inspector and asset changes (revert them on the Temp changes sheet)</t>
  </si>
  <si>
    <t>B1.1</t>
  </si>
  <si>
    <t>B1</t>
  </si>
  <si>
    <t>The deck refills when it runs out</t>
  </si>
  <si>
    <t>H2, M15</t>
  </si>
  <si>
    <t>T1, T2</t>
  </si>
  <si>
    <t>Setup: GameMasterPrefab → GameRules → m_startHandCards = 20 (T1), Timing → m_cardDrawDelay = 0.05 (T2). Each round now deals 40 cards, so the 80-card deck is exactly empty after the round 2 deal.
Since M15 each hand is capped at 10: extra draws discard the oldest cards into the graveyard and show 'Hand limit reached…' (expected). The graveyard fills by itself, so you don't need to discard cards.
1. In round 2's Turn, cast Clarity (draw 2). The deck is empty, so the refill happens during the cast. If nobody casts Clarity, it happens during the round 3 deal.
2. Play on into round 3 or 4.</t>
  </si>
  <si>
    <t>The host Console shows 'Deck refilled: N cards.' with N &gt; 0. No exception and no 'match aborted'.</t>
  </si>
  <si>
    <t>B1.2</t>
  </si>
  <si>
    <t>The Clarity cast in round 2 gives 2 cards with no error.</t>
  </si>
  <si>
    <t>B1.3</t>
  </si>
  <si>
    <t>Both players keep getting cards, and each hand stays at 10. Each player sees their own new cards face up; the opponent's stay hidden.</t>
  </si>
  <si>
    <t>B1.4</t>
  </si>
  <si>
    <t>Search for CardPrefab(Clone) in the host Hierarchy before and after the refill.</t>
  </si>
  <si>
    <t>The discarded cards' objects are gone, and the count doesn't grow by the whole old graveyard.</t>
  </si>
  <si>
    <t>Yes</t>
  </si>
  <si>
    <t>B2.1</t>
  </si>
  <si>
    <t>B2</t>
  </si>
  <si>
    <t>Refill decks leave out the rarest cards</t>
  </si>
  <si>
    <t>H2</t>
  </si>
  <si>
    <t>T1, T2, T5</t>
  </si>
  <si>
    <t>Setup: keep B1's settings, and also set Assets/Card/Data/Clarity.asset → Rarity = UltraRare (T5). Run B1 again.</t>
  </si>
  <si>
    <t>Before the refill, Clarity can appear, at most 2 copies (the UltraRare limit).</t>
  </si>
  <si>
    <t>B2.2</t>
  </si>
  <si>
    <t>After 'Deck refilled', no newly dealt card is Clarity. An old Clarity that was already in a hand may still be there.</t>
  </si>
  <si>
    <t>B3.1</t>
  </si>
  <si>
    <t>B3+B4</t>
  </si>
  <si>
    <t>Block heal over the cap, and the mana cap</t>
  </si>
  <si>
    <t>H3, MANA1</t>
  </si>
  <si>
    <t>T3, T6</t>
  </si>
  <si>
    <t>Setup: Assets/Card/Data/HealingHooves.asset → Activities → Element 0 → Target Type SelfPlayer → SelfBlock (T6); GameMasterPrefab → GameRules → m_maxMana = 5 (T3).
1. From round 2 on, cast HealingHooves on one of your full blocks: select the card, click your block, Confirm, Send.
2. The opponent Fireballs one of your blocks (100 → 50), and you heal that block.
3. Read the block HP on the host and the client: BlockBody(Clone) → BlockController → m_blockHP.</t>
  </si>
  <si>
    <t>A full block goes from 100 to 115.</t>
  </si>
  <si>
    <t>B3.2</t>
  </si>
  <si>
    <t>A damaged block goes from 50 to 80.</t>
  </si>
  <si>
    <t>B3.3</t>
  </si>
  <si>
    <t>A block at 80 goes to 105.</t>
  </si>
  <si>
    <t>B3.4</t>
  </si>
  <si>
    <t>No exception and no 'match aborted'.</t>
  </si>
  <si>
    <t>B4.1</t>
  </si>
  <si>
    <t>Mana goes 2 → 4 → 5 → 5 (the cap).</t>
  </si>
  <si>
    <t>B5.1</t>
  </si>
  <si>
    <t>B5</t>
  </si>
  <si>
    <t>Hand limit</t>
  </si>
  <si>
    <t>M15</t>
  </si>
  <si>
    <t>T4</t>
  </si>
  <si>
    <t>Setup: GameMasterPrefab → GameRules → m_maxHandCards = 3 (T4).
Round 1: 2 cards. Play and discard nothing; let the selection timer run out. Round 2: before the draws, note the leftmost card.</t>
  </si>
  <si>
    <t>First draw: 3 cards. Second draw: 4, then the leftmost card disappears. The hand stays at 3.</t>
  </si>
  <si>
    <t>B5.2</t>
  </si>
  <si>
    <t>Watch both windows during that discard.</t>
  </si>
  <si>
    <t>'Hand limit reached: your oldest card was discarded.' appears only in the owner's window. The opponent doesn't see the discarded card.</t>
  </si>
  <si>
    <t>B5.3</t>
  </si>
  <si>
    <t>In round 3's selection (6 mana), confirm only Clarity to play, nothing else. In your Turn, cast Clarity. If you have no Clarity, retry in a later round.</t>
  </si>
  <si>
    <t>Clarity draws 2, and exactly 1 card is discarded: the oldest uncommitted one, with the message. Clarity itself isn't discarded and resolves normally.</t>
  </si>
  <si>
    <t>B5.4</t>
  </si>
  <si>
    <t>Confirm Clarity plus one more card (e.g. Iceshard) to play. In your Turn, cast Clarity first, then the other card.</t>
  </si>
  <si>
    <t>No card is discarded (the hand is back at exactly 3 uncommitted cards). The other card stays on the board and still resolves.</t>
  </si>
  <si>
    <t>B5.5</t>
  </si>
  <si>
    <t>In a selection phase, select (don't confirm) the leftmost card and let the timer run out. In the next round it's discarded by the limit. Then select and confirm other cards.</t>
  </si>
  <si>
    <t>The host Console has no '[Suspicious] InvalidCardSelection' line.</t>
  </si>
  <si>
    <t>B5.6</t>
  </si>
  <si>
    <t>Switch the locale to ru and ja while the message is visible.</t>
  </si>
  <si>
    <t>The message changes language.</t>
  </si>
  <si>
    <t>B6.1</t>
  </si>
  <si>
    <t>B6</t>
  </si>
  <si>
    <t>Lava kills a respawned pony with a reused ID</t>
  </si>
  <si>
    <t>M3</t>
  </si>
  <si>
    <t>T9</t>
  </si>
  <si>
    <t>Setup: Assets/Prefab/NetworkManagerPrefab.prefab → NetworkManager → NetworkConfig → NetworkIdRecycleDelay 120 → 1 (T9). ID recycling is already on.
1. Start a match and kill pony A in the lava (host Scene view).
2. Wait more than 1 s before confirming the respawn block, so the new pony is likely to get A's old ID.
3. Compare the two IDs: NetworkObject → NetworkObjectId in the Inspector, or the debug log.
4. Drag the respawned pony into the lava.</t>
  </si>
  <si>
    <t>The old and the new NetworkObjectId match. Write both in the notes. If they differ, repeat steps 1–3: a different ID doesn't test M3.</t>
  </si>
  <si>
    <t>B6.2</t>
  </si>
  <si>
    <t>The respawned pony dies in the lava, and lives go down again. (Before the fix it survived when the ID matched.)</t>
  </si>
  <si>
    <t>B7.1</t>
  </si>
  <si>
    <t>B7</t>
  </si>
  <si>
    <t>AnyPlayer target through a block on the client</t>
  </si>
  <si>
    <t>M8</t>
  </si>
  <si>
    <t>Client, then host</t>
  </si>
  <si>
    <t>T7</t>
  </si>
  <si>
    <t>Setup: Assets/Card/Data/Iceshard.asset → activity 0 s_targetType OpponentPlayer (22) → AnyPlayer (23) (T7).
Client, in your Turn: Iceshard → click an opponent block → Confirm → Send.</t>
  </si>
  <si>
    <t>The opponent's pony loses 20 HP. No exception.</t>
  </si>
  <si>
    <t>B7.2</t>
  </si>
  <si>
    <t>Client, next round: Iceshard through your own block.</t>
  </si>
  <si>
    <t>Your own pony loses 20 HP.</t>
  </si>
  <si>
    <t>B7.3</t>
  </si>
  <si>
    <t>Client: Iceshard → click the opponent's pony → Confirm → Send.</t>
  </si>
  <si>
    <t>The opponent loses 20 HP.</t>
  </si>
  <si>
    <t>B7.4</t>
  </si>
  <si>
    <t>Host: repeat row 1.</t>
  </si>
  <si>
    <t>B8.1</t>
  </si>
  <si>
    <t>B8</t>
  </si>
  <si>
    <t>A card with an untargeted type can be sent</t>
  </si>
  <si>
    <t>T8</t>
  </si>
  <si>
    <t>Setup: Assets/Card/Data/Fireball.asset → activity 0 target OpponentBlock (2) → RandomOpponentBlock (5) (T8).
Select Fireball → Confirm → Send (no target click needed).</t>
  </si>
  <si>
    <t>The card is sent and goes to the graveyard. No damage, because the Random* effect isn't implemented (expected). No exception.</t>
  </si>
  <si>
    <t>C. Temporary code edits (don't commit; revert them on the Temp changes sheet)</t>
  </si>
  <si>
    <t>C1.1</t>
  </si>
  <si>
    <t>C1</t>
  </si>
  <si>
    <t>The host returns to the lobby when a match can't start</t>
  </si>
  <si>
    <t>N14</t>
  </si>
  <si>
    <t>T10</t>
  </si>
  <si>
    <t>Edit: Assets/Scripts/MultiplayerScripts/MultiplayerManager.cs → add as the first line inside StartGameAfterSceneReady() (line 1359):
    yield return new WaitForSeconds(5f);
(a) Start a match. Within 5 s after GameScene loads, stop Play Mode in the client window.</t>
  </si>
  <si>
    <t>The host Console shows 'match start aborted. Reason: player_left_before_start'. The host is back in LobbyScene within about 1–2 s. The old lobby no longer appears in Find Lobby.</t>
  </si>
  <si>
    <t>C1.2</t>
  </si>
  <si>
    <t>(b) Same, but stop the host.</t>
  </si>
  <si>
    <t>The client returns to LobbyScene.</t>
  </si>
  <si>
    <t>C1.3</t>
  </si>
  <si>
    <t>(c) After (a), create a new lobby and play one full round.</t>
  </si>
  <si>
    <t>The new match works normally.</t>
  </si>
  <si>
    <t>C1.4</t>
  </si>
  <si>
    <t>After reverting the edit (T10), close the client during Card Selection.</t>
  </si>
  <si>
    <t>The host gets the forfeit result (as in A11), not the lobby.</t>
  </si>
  <si>
    <t>C2.1</t>
  </si>
  <si>
    <t>C2</t>
  </si>
  <si>
    <t>A death with no blocks left ends the match at once</t>
  </si>
  <si>
    <t>T11 (+T1 optional)</t>
  </si>
  <si>
    <t>Edit: Assets/Scripts/InGame/GameMaster/GameMaster.Spawn.cs:252 and :254 → change
    for (int i = 0; i &lt; 5; i++)  →  for (int i = 2; i &lt; 3; i++)
    for (int j = 0; j &lt; 5; j++)  →  for (int j = 2; j &lt; 3; j++)
Each player now gets only the center block, under their pony. Optional: m_startHandCards = 6 (T1) to get Fireballs sooner.
1. Cast Fireball twice on the opponent's only block: twice in round 3 (6 mana), or once in round 2 and once in round 3 (block HP carries over).
2. The block is destroyed, and the opponent's pony falls into the lava with 2 lives left.</t>
  </si>
  <si>
    <t>There's no 'Waiting for respawn'. Both windows go straight to the result screen, and the player without blocks loses.</t>
  </si>
  <si>
    <t>C3.1</t>
  </si>
  <si>
    <t>C3</t>
  </si>
  <si>
    <t>Leave match fallback when the server doesn't answer</t>
  </si>
  <si>
    <t>T12</t>
  </si>
  <si>
    <t>Edit: Assets/Scripts/InGame/PlayerSession.cs:167 → comment out
    GameMaster.Instance.HandlePlayerSurrender(this);
The client clicks Leave match → Leave.</t>
  </si>
  <si>
    <t>About 5 s later, the client goes to the lobby (fallback disconnect).</t>
  </si>
  <si>
    <t>C3.2</t>
  </si>
  <si>
    <t>The host gets 'You won' + 'Your opponent left the match.' (the H6 forfeit).</t>
  </si>
  <si>
    <t>C4.1</t>
  </si>
  <si>
    <t>C4</t>
  </si>
  <si>
    <t>Tamper test: over-budget selection</t>
  </si>
  <si>
    <t>MANA2, SEC1</t>
  </si>
  <si>
    <t>T13</t>
  </si>
  <si>
    <t>Edit (client-side gate): Assets/Scripts/InGame/PlayerSession.cs:286-287 → comment out
    if (SelectedPlayCost() + card.m_cardData.m_cost &gt; m_manaCurrent.Value)
        return false;
In the client window, select a play set that costs more than your mana and press Confirm turn.</t>
  </si>
  <si>
    <t>The host Console shows '[Suspicious] … ManaOverBudget'.</t>
  </si>
  <si>
    <t>C4.2</t>
  </si>
  <si>
    <t>The client's highlights are cleared, and 'Not enough mana' appears on the client only.</t>
  </si>
  <si>
    <t>C4.3</t>
  </si>
  <si>
    <t>The selection timer jumps back to 0.</t>
  </si>
  <si>
    <t>C4.4</t>
  </si>
  <si>
    <t>Confirming a valid set afterwards works.</t>
  </si>
  <si>
    <t>C4.5</t>
  </si>
  <si>
    <t>A second over-budget confirm in the same phase is rejected without a timer reset.</t>
  </si>
  <si>
    <t>C4.6</t>
  </si>
  <si>
    <t>Do one over-budget confirm in each of the next rounds.</t>
  </si>
  <si>
    <t>The timer resets in the first 3 phases where you tamper (3 per match), and not in the 4th.</t>
  </si>
  <si>
    <t>C4.7</t>
  </si>
  <si>
    <t>With debug mode on, the match-end summary lists counts for the tampering client only.</t>
  </si>
  <si>
    <t>C5.1</t>
  </si>
  <si>
    <t>C5</t>
  </si>
  <si>
    <t>Card data arrives late</t>
  </si>
  <si>
    <t>T14</t>
  </si>
  <si>
    <t>Edit: Assets/Scripts/InGame/GameMaster/GameMaster.Card.cs:180 (in DrawCard) → replace the SendCardDataClientRpc(...) line with
    StartCoroutine(SendCardDataLater(card.NetworkObjectId, card.m_cardData.m_cardId, session.OwnerClientId));
and add this method to the class:
    private System.Collections.IEnumerator SendCardDataLater(ulong cardId, string dataId, ulong clientId)
    {
        yield return new WaitForSeconds(1f);
        SendCardDataClientRpc(cardId, dataId, new ClientRpcParams { Send = new ClientRpcSendParams { TargetClientIds = new[] { clientId } } });
    }
(The file has no 'using System.Collections', hence the full type name.) The delay also applies to the host's own hand.
Watch the client's hand during the deal.</t>
  </si>
  <si>
    <t>Each card appears in the client's hand about 1 s after its draw. No exceptions.</t>
  </si>
  <si>
    <t>C5.2</t>
  </si>
  <si>
    <t>After a card appears, select it and cast it.</t>
  </si>
  <si>
    <t>It works normally.</t>
  </si>
  <si>
    <t>C6.1</t>
  </si>
  <si>
    <t>C6</t>
  </si>
  <si>
    <t>GameMaster creation fails at match start</t>
  </si>
  <si>
    <t>T15</t>
  </si>
  <si>
    <t>Edit: Assets/Scripts/Bootstrap.cs:167 → add as the first line inside RecreateGameMaster():
    throw new System.Exception("test");
An 'unreachable code' compiler warning is expected. Start a match.</t>
  </si>
  <si>
    <t>The host logs the exception and 'match start aborted. Reason: game_master_create_failed'.</t>
  </si>
  <si>
    <t>C6.2</t>
  </si>
  <si>
    <t>The host returns to LobbyScene, and the client follows.</t>
  </si>
  <si>
    <t>C7.1</t>
  </si>
  <si>
    <t>C7</t>
  </si>
  <si>
    <t>SessionManager.Instance is cleared after a match</t>
  </si>
  <si>
    <t>M16</t>
  </si>
  <si>
    <t>Host</t>
  </si>
  <si>
    <t>T16</t>
  </si>
  <si>
    <t>Edit: Assets/Scripts/Manager/SceneFlowManager.cs:49 → add as the first line inside LoadMainMenuScene():
    Debug.Log("M16 check: " + ReferenceEquals(SessionManager.Instance, null));
Play a match to the result screen, then press Main menu. (The line also prints once at login; only the one after the match counts.)</t>
  </si>
  <si>
    <t>The Console prints 'M16 check: True' after the match.</t>
  </si>
  <si>
    <t>D. Player build (after every temporary change is reverted)</t>
  </si>
  <si>
    <t>D.1</t>
  </si>
  <si>
    <t>D</t>
  </si>
  <si>
    <t>Windows player build</t>
  </si>
  <si>
    <t>U1, M12</t>
  </si>
  <si>
    <t>#6 + #7</t>
  </si>
  <si>
    <t>Build + Editor</t>
  </si>
  <si>
    <t>File → Build Profiles → Windows → Build. Choose a folder outside Assets, e.g. build/manual-2026-10-20/. Build only after the Temp changes sheet shows every change reverted.</t>
  </si>
  <si>
    <t>The build finishes with 0 errors.</t>
  </si>
  <si>
    <t>D.2</t>
  </si>
  <si>
    <t>Run the .exe as the client, join a lobby hosted from the Editor, and play one round.</t>
  </si>
  <si>
    <t>The round works. In a non-development build the Space debug key does nothing (expected).</t>
  </si>
  <si>
    <t>D.3</t>
  </si>
  <si>
    <t>In the .exe: main menu → Settings → Back.</t>
  </si>
  <si>
    <t>SettingsScene opens, and Back returns to the main menu (the scene is in the build list).</t>
  </si>
  <si>
    <t>D.4</t>
  </si>
  <si>
    <t>In the .exe: Settings → 日本語, then open the main menu, the lobby and a match HUD.</t>
  </si>
  <si>
    <t>Japanese glyphs render everywhere: no □ boxes.</t>
  </si>
  <si>
    <t>D.5</t>
  </si>
  <si>
    <t>Close and restart the .exe.</t>
  </si>
  <si>
    <t>The chosen language is still active. Afterwards, set English back.</t>
  </si>
  <si>
    <t>Results summary</t>
  </si>
  <si>
    <t>Calculated from the Checklist sheet; don't edit. Result: Fail if any row failed, Blocked if any row is blocked, Pass when every required row is Pass or N/A. Optional rows don't hold back a Pass; a group with only optional rows shows 'Optional' until one is run.</t>
  </si>
  <si>
    <t>Items</t>
  </si>
  <si>
    <t>Required</t>
  </si>
  <si>
    <t>Not run / empty</t>
  </si>
  <si>
    <t>Open (required)</t>
  </si>
  <si>
    <t>Done %</t>
  </si>
  <si>
    <t>Result</t>
  </si>
  <si>
    <t>Total</t>
  </si>
  <si>
    <t>All checks</t>
  </si>
  <si>
    <t>By report</t>
  </si>
  <si>
    <t>Source</t>
  </si>
  <si>
    <t>Report #6 round (H2, H3, N14, N18_M1, N19) and older backlog</t>
  </si>
  <si>
    <t>Report #7 round (13 Medium tasks)</t>
  </si>
  <si>
    <t>Player build</t>
  </si>
  <si>
    <t>Check: the by-report Items column must add up to the Total row (E41). Difference:</t>
  </si>
  <si>
    <t>Temporary changes and the revert checklist</t>
  </si>
  <si>
    <t>Make every change in the main project only: the ParrelSync clone shares Assets, so it gets the same change, and a revert in the main project reverts the clone too. Mark Applied when you make a change and Reverted when it's undone. Don't commit any of these.</t>
  </si>
  <si>
    <t>Used by</t>
  </si>
  <si>
    <t>File</t>
  </si>
  <si>
    <t>Temporary change</t>
  </si>
  <si>
    <t>Revert to (original)</t>
  </si>
  <si>
    <t>How to revert</t>
  </si>
  <si>
    <t>Applied</t>
  </si>
  <si>
    <t>Reverted</t>
  </si>
  <si>
    <t>T1</t>
  </si>
  <si>
    <t>B1, B2 (20); C2 (6, optional)</t>
  </si>
  <si>
    <t>Assets/Prefab/GameMasterPrefab.prefab</t>
  </si>
  <si>
    <t>GameRules → m_startHandCards = 20 (C2: 6)</t>
  </si>
  <si>
    <t>2 (C# default; the field isn't serialized in the prefab)</t>
  </si>
  <si>
    <t>git restore Assets/Prefab/GameMasterPrefab.prefab</t>
  </si>
  <si>
    <t>T2</t>
  </si>
  <si>
    <t>A4 (3, optional); B1, B2 (0.05)</t>
  </si>
  <si>
    <t>Timing → m_cardDrawDelay = 0.05 (A4: 3)</t>
  </si>
  <si>
    <t>T3</t>
  </si>
  <si>
    <t>GameRules → m_maxMana = 5</t>
  </si>
  <si>
    <t>GameRules → m_maxHandCards = 3</t>
  </si>
  <si>
    <t>T5</t>
  </si>
  <si>
    <t>Assets/Card/Data/Clarity.asset</t>
  </si>
  <si>
    <t>Rarity = UltraRare</t>
  </si>
  <si>
    <t>Common</t>
  </si>
  <si>
    <t>git restore Assets/Card/Data/Clarity.asset</t>
  </si>
  <si>
    <t>T6</t>
  </si>
  <si>
    <t>Assets/Card/Data/HealingHooves.asset</t>
  </si>
  <si>
    <t>Activities → Element 0 → Target Type = SelfBlock (1)</t>
  </si>
  <si>
    <t>SelfPlayer (21)</t>
  </si>
  <si>
    <t>git restore Assets/Card/Data/HealingHooves.asset</t>
  </si>
  <si>
    <t>Assets/Card/Data/Iceshard.asset</t>
  </si>
  <si>
    <t>Activity 0 s_targetType = AnyPlayer (23)</t>
  </si>
  <si>
    <t>OpponentPlayer (22)</t>
  </si>
  <si>
    <t>git restore Assets/Card/Data/Iceshard.asset</t>
  </si>
  <si>
    <t>Assets/Card/Data/Fireball.asset</t>
  </si>
  <si>
    <t>Activity 0 s_targetType = RandomOpponentBlock (5)</t>
  </si>
  <si>
    <t>OpponentBlock (2)</t>
  </si>
  <si>
    <t>git restore Assets/Card/Data/Fireball.asset</t>
  </si>
  <si>
    <t>Assets/Prefab/NetworkManagerPrefab.prefab</t>
  </si>
  <si>
    <t>NetworkConfig → NetworkIdRecycleDelay = 1</t>
  </si>
  <si>
    <t>git restore Assets/Prefab/NetworkManagerPrefab.prefab</t>
  </si>
  <si>
    <t>Assets/Scripts/MultiplayerScripts/MultiplayerManager.cs:1359</t>
  </si>
  <si>
    <t>First line in StartGameAfterSceneReady(): yield return new WaitForSeconds(5f);</t>
  </si>
  <si>
    <t>Line removed</t>
  </si>
  <si>
    <t>Delete the line. Use git restore on the file only if it has no other uncommitted work.</t>
  </si>
  <si>
    <t>T11</t>
  </si>
  <si>
    <t>Assets/Scripts/InGame/GameMaster/GameMaster.Spawn.cs:252, :254</t>
  </si>
  <si>
    <t>Loops changed to i = 2; i &lt; 3 and j = 2; j &lt; 3</t>
  </si>
  <si>
    <t>i = 0; i &lt; 5 and j = 0; j &lt; 5</t>
  </si>
  <si>
    <t>Edit back, or git restore the file if it has no other uncommitted work.</t>
  </si>
  <si>
    <t>Assets/Scripts/InGame/PlayerSession.cs:167</t>
  </si>
  <si>
    <t>GameMaster.Instance.HandlePlayerSurrender(this); commented out</t>
  </si>
  <si>
    <t>Line active</t>
  </si>
  <si>
    <t>Uncomment. PlayerSession.cs is also edited by T13: revert both.</t>
  </si>
  <si>
    <t>C4 (optional)</t>
  </si>
  <si>
    <t>Assets/Scripts/InGame/PlayerSession.cs:286-287</t>
  </si>
  <si>
    <t>Mana gate (if SelectedPlayCost() + … &gt; m_manaCurrent.Value return false;) commented out</t>
  </si>
  <si>
    <t>Lines active</t>
  </si>
  <si>
    <t>Uncomment.</t>
  </si>
  <si>
    <t>Assets/Scripts/InGame/GameMaster/GameMaster.Card.cs:180</t>
  </si>
  <si>
    <t>SendCardDataClientRpc(...) replaced by StartCoroutine(SendCardDataLater(...)); method SendCardDataLater added</t>
  </si>
  <si>
    <t>Original SendCardDataClientRpc line; no SendCardDataLater method</t>
  </si>
  <si>
    <t>Assets/Scripts/Bootstrap.cs:167</t>
  </si>
  <si>
    <t>First line in RecreateGameMaster(): throw new System.Exception("test");</t>
  </si>
  <si>
    <t>Delete the line.</t>
  </si>
  <si>
    <t>C7 (optional)</t>
  </si>
  <si>
    <t>Assets/Scripts/Manager/SceneFlowManager.cs:49</t>
  </si>
  <si>
    <t>First line in LoadMainMenuScene(): Debug.Log("M16 check: " + …);</t>
  </si>
  <si>
    <t>Final</t>
  </si>
  <si>
    <t>All files above</t>
  </si>
  <si>
    <t>git status shows no changes to any of these files</t>
  </si>
  <si>
    <t>Let both Editors recompile afterwards.</t>
  </si>
  <si>
    <t>Language (A19, D)</t>
  </si>
  <si>
    <t>Locale set to ru/ja during the checks</t>
  </si>
  <si>
    <t>English</t>
  </si>
  <si>
    <t>Main menu → Settings → English, in the Editor and in the build.</t>
  </si>
  <si>
    <t>Note</t>
  </si>
  <si>
    <t>Assets/Fonts/MPLUSRounded1c-Medium SDF.asset</t>
  </si>
  <si>
    <t>May show as modified after ru/ja text renders (N28). It isn't one of the temporary changes.</t>
  </si>
  <si>
    <t>Leave it for a separate decision on N28; don't count it as a leftover.</t>
  </si>
  <si>
    <t>Applied but not yet reverted:</t>
  </si>
  <si>
    <t>must be 0 before the player build (D) and before any commit</t>
  </si>
  <si>
    <t>What you may see during the checks</t>
  </si>
  <si>
    <t>Known and expected: don't mark a row Fail for these</t>
  </si>
  <si>
    <t>You see</t>
  </si>
  <si>
    <t>Notes</t>
  </si>
  <si>
    <t>Cards you selected but didn't confirm last round are highlighted at the start of the next Card Selection. Cards that have left the hand are dropped from it.</t>
  </si>
  <si>
    <t>N26</t>
  </si>
  <si>
    <t>Owner decision open: keep or clear.</t>
  </si>
  <si>
    <t>The warning 'Invalid mane material index.' on every pony spawn.</t>
  </si>
  <si>
    <t>N27</t>
  </si>
  <si>
    <t>Inspector fix pending.</t>
  </si>
  <si>
    <t>A selection confirm pressed at the very last moment ends your Turn instead, or is lost if a respawn pause starts.</t>
  </si>
  <si>
    <t>N21</t>
  </si>
  <si>
    <t>Latency window.</t>
  </si>
  <si>
    <t>After a respawn pause in your Turn, the selected board card and its confirmed target are gone; Send logs 'Send ignored: …' until you select and confirm again.</t>
  </si>
  <si>
    <t>By design (N20 Q1). The old NRE is fixed.</t>
  </si>
  <si>
    <t>Send with a missing required target does nothing and logs nothing.</t>
  </si>
  <si>
    <t>Feature gap: no UI feedback.</t>
  </si>
  <si>
    <t>'Hand limit reached: your oldest card was discarded.' in long matches (hand limit 10).</t>
  </si>
  <si>
    <t>Intended (owner decision, 2026-10-19).</t>
  </si>
  <si>
    <t>The lobby player item shows the short ID as the name and the full ID under it.</t>
  </si>
  <si>
    <t>N29</t>
  </si>
  <si>
    <t>Cosmetic.</t>
  </si>
  <si>
    <t>The host's HUD goes blank for a moment before the result screen after a forfeit.</t>
  </si>
  <si>
    <t>N17</t>
  </si>
  <si>
    <t>NGO NetworkSceneManager.Dispose → NetworkManager.OnDestroy NullReferenceException when you stop Play Mode or quit the Editor.</t>
  </si>
  <si>
    <t>U9</t>
  </si>
  <si>
    <t>Inside NGO, during teardown.</t>
  </si>
  <si>
    <t>Compiler warning CS0414 (m_cardResolveDelay).</t>
  </si>
  <si>
    <t>N4</t>
  </si>
  <si>
    <t>The only remaining warning.</t>
  </si>
  <si>
    <t>'Round preparation' still shows while cards are dealt.</t>
  </si>
  <si>
    <t>Feature gap: no draw phase is set.</t>
  </si>
  <si>
    <t>The timer counts up (elapsed seconds), not down.</t>
  </si>
  <si>
    <t>L1</t>
  </si>
  <si>
    <t>The Space debug key (−10 HP) works in the Editor.</t>
  </si>
  <si>
    <t>L9</t>
  </si>
  <si>
    <t>m_debugMode is on in the prefabs.</t>
  </si>
  <si>
    <t>Lobby or network failures appear only in the Console, with no message on screen.</t>
  </si>
  <si>
    <t>Feature gap (M10 Q1, N14 Q1).</t>
  </si>
  <si>
    <t>MPLUSRounded1c-Medium SDF.asset shows as modified in git status after ru/ja text renders.</t>
  </si>
  <si>
    <t>N28</t>
  </si>
  <si>
    <t>Not a temporary change; leave it for the N28 decision.</t>
  </si>
  <si>
    <t>A double GameScene load in a clone log.</t>
  </si>
  <si>
    <t>U6</t>
  </si>
  <si>
    <t>Still unexplained: copy the log lines into the notes.</t>
  </si>
  <si>
    <t>Fixed since report #6: mark the row Fail if you see these</t>
  </si>
  <si>
    <t>Checked in</t>
  </si>
  <si>
    <t>NullReferenceException in PlayerSession.CheckPackage when you press Send.</t>
  </si>
  <si>
    <t>An unhandled or 'unobserved' exception from LobbyService (e.g. GetLobbyAsync in RefreshCurrentLobby) when the match starts or the lobby refreshes. A logged, handled error is fine: copy it into the notes.</t>
  </si>
  <si>
    <t>A20, C6</t>
  </si>
  <si>
    <t>Compiler warning CS0114 (PlayerUI.OnDestroy).</t>
  </si>
  <si>
    <t>N1</t>
  </si>
  <si>
    <t>A respawned pony survives the lava.</t>
  </si>
  <si>
    <t>A16, B6</t>
  </si>
  <si>
    <t>Errors or warnings that mention SessionManager after the second match in one Play session.</t>
  </si>
  <si>
    <t>NullReferenceException when a non-host client targets an AnyPlayer card through a block.</t>
  </si>
  <si>
    <t>NullReferenceException when you click a card before its data has arrived.</t>
  </si>
  <si>
    <t>A15, C5</t>
  </si>
  <si>
    <t>No language option in the main menu.</t>
  </si>
  <si>
    <t>A19, D</t>
  </si>
  <si>
    <t>'Host_…', 'Client_…', 'MyLobby', 'Unknown Lobby' or an untranslated 'x / y' count in the lobby.</t>
  </si>
  <si>
    <t>Owner</t>
    <phoneticPr fontId="10"/>
  </si>
  <si>
    <t>NetworkVariable is written to, but doesn't know its NetworkBehaviour yet. Are you modifying a NetworkVariable before the NetworkObject is spawned?</t>
  </si>
  <si>
    <t>Have warning at the start of game</t>
    <phoneticPr fontId="10"/>
  </si>
  <si>
    <t>Only warning</t>
    <phoneticPr fontId="10"/>
  </si>
  <si>
    <t>ArgumentException: An item with the same key has already been added. Key: Team Id</t>
  </si>
  <si>
    <t>Falls after exiting the main Unity editor.</t>
    <phoneticPr fontId="10"/>
  </si>
  <si>
    <t>Founded by Owner</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</si>
</sst>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3" x14ac:knownFonts="1">
    <font>
      <sz val="11"/>
      <color theme="1"/>
      <name val="ＭＳ Ｐゴシック"/>
      <family val="2"/>
      <scheme val="minor"/>
    </font>
    <font>
      <b/>
      <sz val="14"/>
      <color rgb="FF1F3A5F"/>
      <name val="Arial"/>
    </font>
    <font>
      <i/>
      <sz val="10"/>
      <color rgb="FF404040"/>
      <name val="Arial"/>
    </font>
    <font>
      <b/>
      <sz val="10"/>
      <color rgb="FFFFFFFF"/>
      <name val="Arial"/>
    </font>
    <font>
      <b/>
      <sz val="11"/>
      <color rgb="FF1F3A5F"/>
      <name val="Arial"/>
    </font>
    <font>
      <b/>
      <sz val="10"/>
      <color rgb="FF000000"/>
      <name val="Arial"/>
    </font>
    <font>
      <sz val="10"/>
      <color rgb="FF000000"/>
      <name val="Arial"/>
    </font>
    <font>
      <sz val="10"/>
      <color rgb="FF808080"/>
      <name val="Arial"/>
    </font>
    <font>
      <b/>
      <sz val="16"/>
      <color rgb="FF1F3A5F"/>
      <name val="Arial"/>
    </font>
    <font>
      <b/>
      <sz val="12"/>
      <color rgb="FF1F3A5F"/>
      <name val="Arial"/>
    </font>
    <font>
      <sz val="6"/>
      <name val="ＭＳ Ｐゴシック"/>
      <family val="3"/>
      <charset val="128"/>
      <scheme val="minor"/>
    </font>
    <font>
      <sz val="10"/>
      <color rgb="FF000000"/>
      <name val="游ゴシック"/>
      <family val="3"/>
      <charset val="128"/>
    </font>
    <font>
      <sz val="10"/>
      <color rgb="FF000000"/>
      <name val="Arial"/>
      <family val="2"/>
    </font>
  </fonts>
  <fills count="10">
    <fill>
      <patternFill patternType="none"/>
    </fill>
    <fill>
      <patternFill patternType="gray125"/>
    </fill>
    <fill>
      <patternFill patternType="solid">
        <fgColor rgb="FF1F3A5F"/>
        <bgColor rgb="FF1F3A5F"/>
      </patternFill>
    </fill>
    <fill>
      <patternFill patternType="solid">
        <fgColor rgb="FFD9E2F3"/>
        <bgColor rgb="FFD9E2F3"/>
      </patternFill>
    </fill>
    <fill>
      <patternFill patternType="solid">
        <fgColor rgb="FFF3F6FA"/>
        <bgColor rgb="FFF3F6FA"/>
      </patternFill>
    </fill>
    <fill>
      <patternFill patternType="solid">
        <fgColor rgb="FFFFF7D6"/>
        <bgColor rgb="FFFFF7D6"/>
      </patternFill>
    </fill>
    <fill>
      <patternFill patternType="solid">
        <fgColor rgb="FFC6EFCE"/>
        <bgColor rgb="FFC6EFCE"/>
      </patternFill>
    </fill>
    <fill>
      <patternFill patternType="solid">
        <fgColor rgb="FFFFC7CE"/>
        <bgColor rgb="FFFFC7CE"/>
      </patternFill>
    </fill>
    <fill>
      <patternFill patternType="solid">
        <fgColor rgb="FFFFE0B2"/>
        <bgColor rgb="FFFFE0B2"/>
      </patternFill>
    </fill>
    <fill>
      <patternFill patternType="solid">
        <fgColor rgb="FFE7E6E6"/>
        <bgColor rgb="FFE7E6E6"/>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52">
    <xf numFmtId="0" fontId="0" fillId="0" borderId="0" xfId="0"/>
    <xf numFmtId="0" fontId="9" fillId="3" borderId="0" xfId="0" applyFont="1" applyFill="1"/>
    <xf numFmtId="0" fontId="0" fillId="3" borderId="0" xfId="0" applyFill="1"/>
    <xf numFmtId="0" fontId="5" fillId="0" borderId="0" xfId="0" applyFont="1" applyAlignment="1">
      <alignment vertical="top" wrapText="1"/>
    </xf>
    <xf numFmtId="0" fontId="6" fillId="0" borderId="0" xfId="0" applyFont="1" applyAlignment="1">
      <alignment vertical="top" wrapText="1"/>
    </xf>
    <xf numFmtId="0" fontId="5" fillId="6"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vertical="top" wrapText="1"/>
    </xf>
    <xf numFmtId="0" fontId="5" fillId="9" borderId="0" xfId="0" applyFont="1" applyFill="1" applyAlignment="1">
      <alignment vertical="top" wrapText="1"/>
    </xf>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vertical="top" wrapText="1"/>
    </xf>
    <xf numFmtId="176" fontId="6" fillId="5" borderId="1" xfId="0" applyNumberFormat="1" applyFont="1" applyFill="1" applyBorder="1" applyAlignment="1">
      <alignment horizontal="center" vertical="top" wrapText="1"/>
    </xf>
    <xf numFmtId="0" fontId="7" fillId="4" borderId="1" xfId="0" applyFont="1" applyFill="1" applyBorder="1" applyAlignment="1">
      <alignment vertical="top" wrapText="1"/>
    </xf>
    <xf numFmtId="0" fontId="7" fillId="4" borderId="1" xfId="0" applyFont="1" applyFill="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9" fontId="6" fillId="0" borderId="1" xfId="0" applyNumberFormat="1" applyFont="1" applyBorder="1" applyAlignment="1">
      <alignment horizontal="center" vertical="top" wrapText="1"/>
    </xf>
    <xf numFmtId="0" fontId="5" fillId="3" borderId="1" xfId="0" applyFont="1" applyFill="1" applyBorder="1" applyAlignment="1">
      <alignment horizontal="center" vertical="top" wrapText="1"/>
    </xf>
    <xf numFmtId="0" fontId="5" fillId="3" borderId="1" xfId="0" applyFont="1" applyFill="1" applyBorder="1" applyAlignment="1">
      <alignment vertical="top" wrapText="1"/>
    </xf>
    <xf numFmtId="9" fontId="5" fillId="3" borderId="1" xfId="0" applyNumberFormat="1" applyFont="1" applyFill="1" applyBorder="1" applyAlignment="1">
      <alignment horizontal="center" vertical="top" wrapText="1"/>
    </xf>
    <xf numFmtId="0" fontId="4" fillId="0" borderId="0" xfId="0" applyFont="1"/>
    <xf numFmtId="0" fontId="2" fillId="0" borderId="0" xfId="0" applyFont="1"/>
    <xf numFmtId="0" fontId="5" fillId="0" borderId="0" xfId="0" applyFont="1" applyAlignment="1">
      <alignment horizontal="center" vertical="top" wrapText="1"/>
    </xf>
    <xf numFmtId="0" fontId="6" fillId="0" borderId="1" xfId="0" applyFont="1" applyBorder="1" applyAlignment="1">
      <alignment horizontal="left" vertical="top" wrapText="1"/>
    </xf>
    <xf numFmtId="0" fontId="5" fillId="0" borderId="0" xfId="0" applyFont="1" applyAlignment="1">
      <alignment horizontal="left"/>
    </xf>
    <xf numFmtId="0" fontId="3" fillId="2" borderId="1" xfId="0" applyFont="1" applyFill="1" applyBorder="1" applyAlignment="1">
      <alignment horizontal="center" vertical="center"/>
    </xf>
    <xf numFmtId="0" fontId="8" fillId="0" borderId="0" xfId="0" applyFont="1"/>
    <xf numFmtId="0" fontId="0" fillId="0" borderId="0" xfId="0"/>
    <xf numFmtId="0" fontId="1" fillId="0" borderId="0" xfId="0" applyFont="1"/>
    <xf numFmtId="0" fontId="4" fillId="3" borderId="0" xfId="0" applyFont="1" applyFill="1" applyAlignment="1">
      <alignment vertical="center"/>
    </xf>
    <xf numFmtId="0" fontId="2" fillId="0" borderId="0" xfId="0" applyFont="1" applyAlignment="1">
      <alignment vertical="top" wrapText="1"/>
    </xf>
    <xf numFmtId="0" fontId="2" fillId="0" borderId="0" xfId="0" applyFont="1"/>
    <xf numFmtId="0" fontId="6" fillId="0" borderId="1" xfId="0" applyFont="1" applyBorder="1" applyAlignment="1">
      <alignment vertical="top" wrapText="1"/>
    </xf>
    <xf numFmtId="0" fontId="6" fillId="0" borderId="1" xfId="0" applyFont="1" applyBorder="1" applyAlignment="1">
      <alignment horizontal="center" vertical="top" wrapText="1"/>
    </xf>
    <xf numFmtId="0" fontId="3" fillId="2" borderId="1" xfId="0" applyFont="1" applyFill="1" applyBorder="1" applyAlignment="1">
      <alignment horizontal="center" vertical="center" wrapText="1"/>
    </xf>
    <xf numFmtId="0" fontId="0" fillId="0" borderId="2" xfId="0" applyBorder="1"/>
    <xf numFmtId="0" fontId="0" fillId="0" borderId="3" xfId="0" applyBorder="1"/>
    <xf numFmtId="0" fontId="5" fillId="0" borderId="0" xfId="0" applyFont="1"/>
    <xf numFmtId="0" fontId="11" fillId="5" borderId="1" xfId="0" applyFont="1" applyFill="1" applyBorder="1" applyAlignment="1">
      <alignment vertical="top" wrapText="1"/>
    </xf>
    <xf numFmtId="0" fontId="12" fillId="5" borderId="1" xfId="0" applyFont="1" applyFill="1" applyBorder="1" applyAlignment="1">
      <alignment vertical="top" wrapText="1"/>
    </xf>
    <xf numFmtId="0" fontId="12" fillId="4" borderId="1" xfId="0" applyFont="1" applyFill="1" applyBorder="1" applyAlignment="1">
      <alignment horizontal="center" vertical="top" wrapText="1"/>
    </xf>
    <xf numFmtId="0" fontId="12" fillId="5" borderId="1" xfId="0" applyFont="1" applyFill="1" applyBorder="1" applyAlignment="1">
      <alignment horizontal="center" vertical="top" wrapText="1"/>
    </xf>
    <xf numFmtId="176" fontId="12" fillId="5" borderId="1" xfId="0" applyNumberFormat="1" applyFont="1" applyFill="1" applyBorder="1" applyAlignment="1">
      <alignment horizontal="center" vertical="top" wrapText="1"/>
    </xf>
    <xf numFmtId="0" fontId="12" fillId="0" borderId="0" xfId="0" applyFont="1" applyFill="1" applyBorder="1" applyAlignment="1">
      <alignment vertical="top" wrapText="1"/>
    </xf>
    <xf numFmtId="0" fontId="12" fillId="0" borderId="4" xfId="0" applyFont="1" applyFill="1" applyBorder="1" applyAlignment="1">
      <alignment vertical="top" wrapText="1"/>
    </xf>
  </cellXfs>
  <cellStyles count="1">
    <cellStyle name="標準" xfId="0" builtinId="0"/>
  </cellStyles>
  <dxfs count="18">
    <dxf>
      <fill>
        <patternFill patternType="solid">
          <fgColor rgb="FFE7E6E6"/>
          <bgColor rgb="FFE7E6E6"/>
        </patternFill>
      </fill>
    </dxf>
    <dxf>
      <fill>
        <patternFill patternType="solid">
          <fgColor rgb="FFFFC7CE"/>
          <bgColor rgb="FFFFC7CE"/>
        </patternFill>
      </fill>
    </dxf>
    <dxf>
      <fill>
        <patternFill patternType="solid">
          <fgColor rgb="FFC6EFCE"/>
          <bgColor rgb="FFC6EFCE"/>
        </patternFill>
      </fill>
    </dxf>
    <dxf>
      <font>
        <b/>
        <name val="Arial"/>
      </font>
      <fill>
        <patternFill patternType="solid">
          <fgColor rgb="FFE7E6E6"/>
          <bgColor rgb="FFE7E6E6"/>
        </patternFill>
      </fill>
    </dxf>
    <dxf>
      <font>
        <b/>
        <name val="Arial"/>
      </font>
      <fill>
        <patternFill patternType="solid">
          <fgColor rgb="FFDDEBF7"/>
          <bgColor rgb="FFDDEBF7"/>
        </patternFill>
      </fill>
    </dxf>
    <dxf>
      <font>
        <b/>
        <name val="Arial"/>
      </font>
      <fill>
        <patternFill patternType="solid">
          <fgColor rgb="FFFFE0B2"/>
          <bgColor rgb="FFFFE0B2"/>
        </patternFill>
      </fill>
    </dxf>
    <dxf>
      <font>
        <b/>
        <name val="Arial"/>
      </font>
      <fill>
        <patternFill patternType="solid">
          <fgColor rgb="FFFFC7CE"/>
          <bgColor rgb="FFFFC7CE"/>
        </patternFill>
      </fill>
    </dxf>
    <dxf>
      <font>
        <b/>
        <name val="Arial"/>
      </font>
      <fill>
        <patternFill patternType="solid">
          <fgColor rgb="FFC6EFCE"/>
          <bgColor rgb="FFC6EFCE"/>
        </patternFill>
      </fill>
    </dxf>
    <dxf>
      <font>
        <b/>
        <name val="Arial"/>
      </font>
      <fill>
        <patternFill patternType="solid">
          <fgColor rgb="FFE7E6E6"/>
          <bgColor rgb="FFE7E6E6"/>
        </patternFill>
      </fill>
    </dxf>
    <dxf>
      <font>
        <b/>
        <name val="Arial"/>
      </font>
      <fill>
        <patternFill patternType="solid">
          <fgColor rgb="FFDDEBF7"/>
          <bgColor rgb="FFDDEBF7"/>
        </patternFill>
      </fill>
    </dxf>
    <dxf>
      <font>
        <b/>
        <name val="Arial"/>
      </font>
      <fill>
        <patternFill patternType="solid">
          <fgColor rgb="FFFFE0B2"/>
          <bgColor rgb="FFFFE0B2"/>
        </patternFill>
      </fill>
    </dxf>
    <dxf>
      <font>
        <b/>
        <name val="Arial"/>
      </font>
      <fill>
        <patternFill patternType="solid">
          <fgColor rgb="FFFFC7CE"/>
          <bgColor rgb="FFFFC7CE"/>
        </patternFill>
      </fill>
    </dxf>
    <dxf>
      <font>
        <b/>
        <name val="Arial"/>
      </font>
      <fill>
        <patternFill patternType="solid">
          <fgColor rgb="FFC6EFCE"/>
          <bgColor rgb="FFC6EFCE"/>
        </patternFill>
      </fill>
    </dxf>
    <dxf>
      <font>
        <b/>
        <name val="Arial"/>
      </font>
      <fill>
        <patternFill patternType="solid">
          <fgColor rgb="FFE7E6E6"/>
          <bgColor rgb="FFE7E6E6"/>
        </patternFill>
      </fill>
    </dxf>
    <dxf>
      <font>
        <b/>
        <name val="Arial"/>
      </font>
      <fill>
        <patternFill patternType="solid">
          <fgColor rgb="FFE7E6E6"/>
          <bgColor rgb="FFE7E6E6"/>
        </patternFill>
      </fill>
    </dxf>
    <dxf>
      <font>
        <b/>
        <name val="Arial"/>
      </font>
      <fill>
        <patternFill patternType="solid">
          <fgColor rgb="FFFFE0B2"/>
          <bgColor rgb="FFFFE0B2"/>
        </patternFill>
      </fill>
    </dxf>
    <dxf>
      <font>
        <b/>
        <name val="Arial"/>
      </font>
      <fill>
        <patternFill patternType="solid">
          <fgColor rgb="FFFFC7CE"/>
          <bgColor rgb="FFFFC7CE"/>
        </patternFill>
      </fill>
    </dxf>
    <dxf>
      <font>
        <b/>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showGridLines="0" topLeftCell="A15" workbookViewId="0">
      <selection sqref="A1:B1"/>
    </sheetView>
  </sheetViews>
  <sheetFormatPr defaultRowHeight="13.5" x14ac:dyDescent="0.15"/>
  <cols>
    <col min="1" max="1" width="24" customWidth="1"/>
    <col min="2" max="2" width="100" customWidth="1"/>
  </cols>
  <sheetData>
    <row r="1" spans="1:2" ht="24" customHeight="1" x14ac:dyDescent="0.3">
      <c r="A1" s="33" t="s">
        <v>0</v>
      </c>
      <c r="B1" s="34"/>
    </row>
    <row r="3" spans="1:2" ht="18.95" customHeight="1" x14ac:dyDescent="0.25">
      <c r="A3" s="1" t="s">
        <v>1</v>
      </c>
      <c r="B3" s="2"/>
    </row>
    <row r="4" spans="1:2" ht="15.95" customHeight="1" x14ac:dyDescent="0.15">
      <c r="A4" s="3" t="s">
        <v>2</v>
      </c>
      <c r="B4" s="4" t="s">
        <v>3</v>
      </c>
    </row>
    <row r="5" spans="1:2" ht="27.95" customHeight="1" x14ac:dyDescent="0.15">
      <c r="A5" s="3" t="s">
        <v>4</v>
      </c>
      <c r="B5" s="4" t="s">
        <v>5</v>
      </c>
    </row>
    <row r="6" spans="1:2" ht="27.95" customHeight="1" x14ac:dyDescent="0.15">
      <c r="A6" s="3" t="s">
        <v>6</v>
      </c>
      <c r="B6" s="4" t="s">
        <v>7</v>
      </c>
    </row>
    <row r="7" spans="1:2" ht="15.95" customHeight="1" x14ac:dyDescent="0.15">
      <c r="A7" s="3" t="s">
        <v>8</v>
      </c>
      <c r="B7" s="4" t="s">
        <v>9</v>
      </c>
    </row>
    <row r="8" spans="1:2" ht="27.95" customHeight="1" x14ac:dyDescent="0.15">
      <c r="A8" s="3" t="s">
        <v>10</v>
      </c>
      <c r="B8" s="4" t="s">
        <v>11</v>
      </c>
    </row>
    <row r="9" spans="1:2" ht="54" customHeight="1" x14ac:dyDescent="0.15">
      <c r="A9" s="3" t="s">
        <v>12</v>
      </c>
      <c r="B9" s="4" t="s">
        <v>13</v>
      </c>
    </row>
    <row r="10" spans="1:2" ht="15.95" customHeight="1" x14ac:dyDescent="0.15"/>
    <row r="11" spans="1:2" ht="18.95" customHeight="1" x14ac:dyDescent="0.25">
      <c r="A11" s="1" t="s">
        <v>14</v>
      </c>
      <c r="B11" s="2"/>
    </row>
    <row r="12" spans="1:2" ht="27.95" customHeight="1" x14ac:dyDescent="0.15">
      <c r="A12" s="3" t="s">
        <v>15</v>
      </c>
      <c r="B12" s="4" t="s">
        <v>16</v>
      </c>
    </row>
    <row r="13" spans="1:2" ht="15.95" customHeight="1" x14ac:dyDescent="0.15">
      <c r="A13" s="5" t="s">
        <v>17</v>
      </c>
      <c r="B13" s="4" t="s">
        <v>18</v>
      </c>
    </row>
    <row r="14" spans="1:2" ht="15.95" customHeight="1" x14ac:dyDescent="0.15">
      <c r="A14" s="6" t="s">
        <v>19</v>
      </c>
      <c r="B14" s="4" t="s">
        <v>20</v>
      </c>
    </row>
    <row r="15" spans="1:2" ht="15.95" customHeight="1" x14ac:dyDescent="0.15">
      <c r="A15" s="7" t="s">
        <v>21</v>
      </c>
      <c r="B15" s="4" t="s">
        <v>22</v>
      </c>
    </row>
    <row r="16" spans="1:2" ht="15.95" customHeight="1" x14ac:dyDescent="0.15">
      <c r="A16" s="8" t="s">
        <v>23</v>
      </c>
      <c r="B16" s="4" t="s">
        <v>24</v>
      </c>
    </row>
    <row r="17" spans="1:2" ht="15.95" customHeight="1" x14ac:dyDescent="0.15">
      <c r="A17" s="8" t="s">
        <v>25</v>
      </c>
      <c r="B17" s="4" t="s">
        <v>26</v>
      </c>
    </row>
    <row r="18" spans="1:2" ht="15.95" customHeight="1" x14ac:dyDescent="0.15">
      <c r="A18" s="3" t="s">
        <v>27</v>
      </c>
      <c r="B18" s="4" t="s">
        <v>28</v>
      </c>
    </row>
    <row r="19" spans="1:2" ht="27.95" customHeight="1" x14ac:dyDescent="0.15">
      <c r="A19" s="3" t="s">
        <v>29</v>
      </c>
      <c r="B19" s="4" t="s">
        <v>30</v>
      </c>
    </row>
    <row r="20" spans="1:2" ht="15.95" customHeight="1" x14ac:dyDescent="0.15"/>
    <row r="21" spans="1:2" ht="18.95" customHeight="1" x14ac:dyDescent="0.25">
      <c r="A21" s="1" t="s">
        <v>31</v>
      </c>
      <c r="B21" s="2"/>
    </row>
    <row r="22" spans="1:2" ht="15.95" customHeight="1" x14ac:dyDescent="0.15">
      <c r="A22" s="3" t="s">
        <v>32</v>
      </c>
      <c r="B22" s="4" t="s">
        <v>33</v>
      </c>
    </row>
    <row r="23" spans="1:2" ht="15.95" customHeight="1" x14ac:dyDescent="0.15">
      <c r="A23" s="3" t="s">
        <v>34</v>
      </c>
      <c r="B23" s="4" t="s">
        <v>35</v>
      </c>
    </row>
    <row r="24" spans="1:2" ht="15.95" customHeight="1" x14ac:dyDescent="0.15">
      <c r="A24" s="3" t="s">
        <v>36</v>
      </c>
      <c r="B24" s="4" t="s">
        <v>37</v>
      </c>
    </row>
    <row r="25" spans="1:2" ht="15.95" customHeight="1" x14ac:dyDescent="0.15"/>
    <row r="26" spans="1:2" ht="18.95" customHeight="1" x14ac:dyDescent="0.25">
      <c r="A26" s="1" t="s">
        <v>38</v>
      </c>
      <c r="B26" s="2"/>
    </row>
    <row r="27" spans="1:2" ht="27.95" customHeight="1" x14ac:dyDescent="0.15">
      <c r="A27" s="3" t="s">
        <v>39</v>
      </c>
      <c r="B27" s="4" t="s">
        <v>40</v>
      </c>
    </row>
    <row r="28" spans="1:2" ht="15.95" customHeight="1" x14ac:dyDescent="0.15">
      <c r="A28" s="3" t="s">
        <v>41</v>
      </c>
      <c r="B28" s="4" t="s">
        <v>42</v>
      </c>
    </row>
    <row r="29" spans="1:2" ht="15.95" customHeight="1" x14ac:dyDescent="0.15">
      <c r="A29" s="3" t="s">
        <v>43</v>
      </c>
      <c r="B29" s="4" t="s">
        <v>44</v>
      </c>
    </row>
    <row r="30" spans="1:2" ht="27.95" customHeight="1" x14ac:dyDescent="0.15">
      <c r="A30" s="3" t="s">
        <v>45</v>
      </c>
      <c r="B30" s="4" t="s">
        <v>46</v>
      </c>
    </row>
    <row r="31" spans="1:2" ht="27.95" customHeight="1" x14ac:dyDescent="0.15">
      <c r="A31" s="3" t="s">
        <v>47</v>
      </c>
      <c r="B31" s="4" t="s">
        <v>48</v>
      </c>
    </row>
    <row r="32" spans="1:2" ht="15.95" customHeight="1" x14ac:dyDescent="0.15"/>
    <row r="33" spans="1:2" ht="18.95" customHeight="1" x14ac:dyDescent="0.25">
      <c r="A33" s="1" t="s">
        <v>49</v>
      </c>
      <c r="B33" s="2"/>
    </row>
    <row r="34" spans="1:2" ht="27.95" customHeight="1" x14ac:dyDescent="0.15">
      <c r="A34" s="3" t="s">
        <v>50</v>
      </c>
      <c r="B34" s="4" t="s">
        <v>51</v>
      </c>
    </row>
    <row r="35" spans="1:2" ht="15.95" customHeight="1" x14ac:dyDescent="0.15">
      <c r="A35" s="3" t="s">
        <v>52</v>
      </c>
      <c r="B35" s="4" t="s">
        <v>53</v>
      </c>
    </row>
    <row r="36" spans="1:2" ht="54" customHeight="1" x14ac:dyDescent="0.15">
      <c r="A36" s="3" t="s">
        <v>54</v>
      </c>
      <c r="B36" s="4" t="s">
        <v>55</v>
      </c>
    </row>
    <row r="37" spans="1:2" ht="27.95" customHeight="1" x14ac:dyDescent="0.15">
      <c r="A37" s="3" t="s">
        <v>56</v>
      </c>
      <c r="B37" s="4" t="s">
        <v>57</v>
      </c>
    </row>
    <row r="38" spans="1:2" ht="27.95" customHeight="1" x14ac:dyDescent="0.15">
      <c r="A38" s="3" t="s">
        <v>58</v>
      </c>
      <c r="B38" s="4" t="s">
        <v>59</v>
      </c>
    </row>
    <row r="39" spans="1:2" ht="27.95" customHeight="1" x14ac:dyDescent="0.15">
      <c r="A39" s="3" t="s">
        <v>60</v>
      </c>
      <c r="B39" s="4" t="s">
        <v>61</v>
      </c>
    </row>
    <row r="40" spans="1:2" ht="27.95" customHeight="1" x14ac:dyDescent="0.15">
      <c r="A40" s="3" t="s">
        <v>62</v>
      </c>
      <c r="B40" s="4" t="s">
        <v>63</v>
      </c>
    </row>
    <row r="41" spans="1:2" ht="27.95" customHeight="1" x14ac:dyDescent="0.15">
      <c r="A41" s="3" t="s">
        <v>64</v>
      </c>
      <c r="B41" s="4" t="s">
        <v>65</v>
      </c>
    </row>
    <row r="42" spans="1:2" ht="15.95" customHeight="1" x14ac:dyDescent="0.15"/>
    <row r="43" spans="1:2" ht="18.95" customHeight="1" x14ac:dyDescent="0.25">
      <c r="A43" s="1" t="s">
        <v>66</v>
      </c>
      <c r="B43" s="2"/>
    </row>
    <row r="44" spans="1:2" ht="15.95" customHeight="1" x14ac:dyDescent="0.15">
      <c r="A44" s="3" t="s">
        <v>67</v>
      </c>
      <c r="B44" s="4" t="s">
        <v>68</v>
      </c>
    </row>
    <row r="45" spans="1:2" ht="27.95" customHeight="1" x14ac:dyDescent="0.15">
      <c r="A45" s="3" t="s">
        <v>69</v>
      </c>
      <c r="B45" s="4" t="s">
        <v>70</v>
      </c>
    </row>
    <row r="46" spans="1:2" ht="27.95" customHeight="1" x14ac:dyDescent="0.15">
      <c r="A46" s="3" t="s">
        <v>71</v>
      </c>
      <c r="B46" s="4" t="s">
        <v>72</v>
      </c>
    </row>
    <row r="47" spans="1:2" ht="27.95" customHeight="1" x14ac:dyDescent="0.15">
      <c r="A47" s="3" t="s">
        <v>73</v>
      </c>
      <c r="B47" s="4" t="s">
        <v>74</v>
      </c>
    </row>
    <row r="48" spans="1:2" ht="41.1" customHeight="1" x14ac:dyDescent="0.15">
      <c r="A48" s="3" t="s">
        <v>75</v>
      </c>
      <c r="B48" s="4" t="s">
        <v>76</v>
      </c>
    </row>
  </sheetData>
  <mergeCells count="1">
    <mergeCell ref="A1:B1"/>
  </mergeCells>
  <phoneticPr fontId="1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30"/>
  <sheetViews>
    <sheetView tabSelected="1" workbookViewId="0">
      <pane xSplit="2" ySplit="3" topLeftCell="G123" activePane="bottomRight" state="frozen"/>
      <selection pane="topRight"/>
      <selection pane="bottomLeft"/>
      <selection pane="bottomRight" activeCell="K131" sqref="K131"/>
    </sheetView>
  </sheetViews>
  <sheetFormatPr defaultRowHeight="13.5" x14ac:dyDescent="0.15"/>
  <cols>
    <col min="1" max="1" width="7" customWidth="1"/>
    <col min="2" max="2" width="9" customWidth="1"/>
    <col min="3" max="3" width="24" customWidth="1"/>
    <col min="4" max="4" width="13" customWidth="1"/>
    <col min="5" max="5" width="9" customWidth="1"/>
    <col min="6" max="6" width="12" customWidth="1"/>
    <col min="7" max="7" width="11" customWidth="1"/>
    <col min="8" max="8" width="58" customWidth="1"/>
    <col min="9" max="9" width="50" customWidth="1"/>
    <col min="10" max="10" width="10" customWidth="1"/>
    <col min="11" max="11" width="11" customWidth="1"/>
    <col min="12" max="12" width="12" customWidth="1"/>
    <col min="13" max="13" width="11" customWidth="1"/>
    <col min="14" max="14" width="42" customWidth="1"/>
  </cols>
  <sheetData>
    <row r="1" spans="1:15" ht="18" x14ac:dyDescent="0.25">
      <c r="A1" s="35" t="s">
        <v>0</v>
      </c>
      <c r="B1" s="34"/>
      <c r="C1" s="34"/>
      <c r="D1" s="34"/>
      <c r="E1" s="34"/>
      <c r="F1" s="34"/>
      <c r="G1" s="34"/>
      <c r="H1" s="34"/>
      <c r="I1" s="34"/>
      <c r="J1" s="34"/>
      <c r="K1" s="34"/>
      <c r="L1" s="34"/>
      <c r="M1" s="34"/>
      <c r="N1" s="34"/>
    </row>
    <row r="2" spans="1:15" ht="18" customHeight="1" x14ac:dyDescent="0.15">
      <c r="A2" s="37" t="s">
        <v>77</v>
      </c>
      <c r="B2" s="34"/>
      <c r="C2" s="34"/>
      <c r="D2" s="34"/>
      <c r="E2" s="34"/>
      <c r="F2" s="34"/>
      <c r="G2" s="34"/>
      <c r="H2" s="34"/>
      <c r="I2" s="34"/>
      <c r="J2" s="34"/>
      <c r="K2" s="34"/>
      <c r="L2" s="34"/>
      <c r="M2" s="34"/>
      <c r="N2" s="34"/>
    </row>
    <row r="3" spans="1:15" ht="27.95" customHeight="1" x14ac:dyDescent="0.15">
      <c r="A3" s="9" t="s">
        <v>78</v>
      </c>
      <c r="B3" s="9" t="s">
        <v>79</v>
      </c>
      <c r="C3" s="9" t="s">
        <v>80</v>
      </c>
      <c r="D3" s="9" t="s">
        <v>81</v>
      </c>
      <c r="E3" s="9" t="s">
        <v>82</v>
      </c>
      <c r="F3" s="9" t="s">
        <v>83</v>
      </c>
      <c r="G3" s="9" t="s">
        <v>84</v>
      </c>
      <c r="H3" s="9" t="s">
        <v>85</v>
      </c>
      <c r="I3" s="9" t="s">
        <v>86</v>
      </c>
      <c r="J3" s="9" t="s">
        <v>87</v>
      </c>
      <c r="K3" s="9" t="s">
        <v>88</v>
      </c>
      <c r="L3" s="9" t="s">
        <v>89</v>
      </c>
      <c r="M3" s="9" t="s">
        <v>90</v>
      </c>
      <c r="N3" s="9" t="s">
        <v>36</v>
      </c>
    </row>
    <row r="4" spans="1:15" ht="20.100000000000001" customHeight="1" x14ac:dyDescent="0.15">
      <c r="A4" s="36" t="s">
        <v>91</v>
      </c>
      <c r="B4" s="34"/>
      <c r="C4" s="34"/>
      <c r="D4" s="34"/>
      <c r="E4" s="34"/>
      <c r="F4" s="34"/>
      <c r="G4" s="34"/>
      <c r="H4" s="34"/>
      <c r="I4" s="34"/>
      <c r="J4" s="34"/>
      <c r="K4" s="34"/>
      <c r="L4" s="34"/>
      <c r="M4" s="34"/>
      <c r="N4" s="34"/>
    </row>
    <row r="5" spans="1:15" ht="27.95" customHeight="1" x14ac:dyDescent="0.15">
      <c r="A5" s="10" t="s">
        <v>92</v>
      </c>
      <c r="B5" s="11" t="s">
        <v>93</v>
      </c>
      <c r="C5" s="12" t="s">
        <v>94</v>
      </c>
      <c r="D5" s="12" t="s">
        <v>95</v>
      </c>
      <c r="E5" s="11" t="s">
        <v>96</v>
      </c>
      <c r="F5" s="12" t="s">
        <v>97</v>
      </c>
      <c r="G5" s="12" t="s">
        <v>98</v>
      </c>
      <c r="H5" s="12" t="s">
        <v>99</v>
      </c>
      <c r="I5" s="12" t="s">
        <v>100</v>
      </c>
      <c r="K5" s="13" t="s">
        <v>17</v>
      </c>
      <c r="L5" s="45" t="s">
        <v>711</v>
      </c>
      <c r="M5" s="15">
        <v>46315</v>
      </c>
      <c r="N5" s="14" t="s">
        <v>712</v>
      </c>
      <c r="O5" s="47" t="s">
        <v>713</v>
      </c>
    </row>
    <row r="6" spans="1:15" ht="27.95" customHeight="1" x14ac:dyDescent="0.15">
      <c r="A6" s="10" t="s">
        <v>101</v>
      </c>
      <c r="B6" s="11" t="s">
        <v>93</v>
      </c>
      <c r="C6" s="16" t="s">
        <v>94</v>
      </c>
      <c r="D6" s="16" t="s">
        <v>95</v>
      </c>
      <c r="E6" s="17" t="s">
        <v>96</v>
      </c>
      <c r="F6" s="16" t="s">
        <v>97</v>
      </c>
      <c r="G6" s="16" t="s">
        <v>98</v>
      </c>
      <c r="H6" s="12"/>
      <c r="I6" s="12" t="s">
        <v>102</v>
      </c>
      <c r="J6" s="11"/>
      <c r="K6" s="13" t="s">
        <v>17</v>
      </c>
      <c r="L6" s="46" t="s">
        <v>711</v>
      </c>
      <c r="M6" s="15">
        <v>46315</v>
      </c>
      <c r="N6" s="14"/>
    </row>
    <row r="7" spans="1:15" ht="27.95" customHeight="1" x14ac:dyDescent="0.15">
      <c r="A7" s="10" t="s">
        <v>103</v>
      </c>
      <c r="B7" s="11" t="s">
        <v>93</v>
      </c>
      <c r="C7" s="16" t="s">
        <v>94</v>
      </c>
      <c r="D7" s="16" t="s">
        <v>95</v>
      </c>
      <c r="E7" s="17" t="s">
        <v>96</v>
      </c>
      <c r="F7" s="16" t="s">
        <v>97</v>
      </c>
      <c r="G7" s="16" t="s">
        <v>98</v>
      </c>
      <c r="H7" s="12"/>
      <c r="I7" s="12" t="s">
        <v>104</v>
      </c>
      <c r="J7" s="11"/>
      <c r="K7" s="13" t="s">
        <v>17</v>
      </c>
      <c r="L7" s="46" t="s">
        <v>711</v>
      </c>
      <c r="M7" s="15">
        <v>46315</v>
      </c>
      <c r="N7" s="14"/>
    </row>
    <row r="8" spans="1:15" ht="27.95" customHeight="1" x14ac:dyDescent="0.15">
      <c r="A8" s="10" t="s">
        <v>105</v>
      </c>
      <c r="B8" s="11" t="s">
        <v>93</v>
      </c>
      <c r="C8" s="16" t="s">
        <v>94</v>
      </c>
      <c r="D8" s="16" t="s">
        <v>95</v>
      </c>
      <c r="E8" s="17" t="s">
        <v>96</v>
      </c>
      <c r="F8" s="16" t="s">
        <v>97</v>
      </c>
      <c r="G8" s="16" t="s">
        <v>98</v>
      </c>
      <c r="H8" s="12"/>
      <c r="I8" s="12" t="s">
        <v>106</v>
      </c>
      <c r="J8" s="11"/>
      <c r="K8" s="13" t="s">
        <v>17</v>
      </c>
      <c r="L8" s="46" t="s">
        <v>711</v>
      </c>
      <c r="M8" s="15">
        <v>46315</v>
      </c>
      <c r="N8" s="14"/>
    </row>
    <row r="9" spans="1:15" ht="27.95" customHeight="1" x14ac:dyDescent="0.15">
      <c r="A9" s="10" t="s">
        <v>107</v>
      </c>
      <c r="B9" s="11" t="s">
        <v>93</v>
      </c>
      <c r="C9" s="16" t="s">
        <v>94</v>
      </c>
      <c r="D9" s="16" t="s">
        <v>95</v>
      </c>
      <c r="E9" s="17" t="s">
        <v>96</v>
      </c>
      <c r="F9" s="16" t="s">
        <v>97</v>
      </c>
      <c r="G9" s="16" t="s">
        <v>98</v>
      </c>
      <c r="H9" s="12"/>
      <c r="I9" s="12" t="s">
        <v>108</v>
      </c>
      <c r="J9" s="11"/>
      <c r="K9" s="13" t="s">
        <v>17</v>
      </c>
      <c r="L9" s="46" t="s">
        <v>711</v>
      </c>
      <c r="M9" s="15">
        <v>46315</v>
      </c>
      <c r="N9" s="14"/>
    </row>
    <row r="10" spans="1:15" ht="27.95" customHeight="1" x14ac:dyDescent="0.15">
      <c r="A10" s="10" t="s">
        <v>109</v>
      </c>
      <c r="B10" s="11" t="s">
        <v>93</v>
      </c>
      <c r="C10" s="16" t="s">
        <v>94</v>
      </c>
      <c r="D10" s="16" t="s">
        <v>95</v>
      </c>
      <c r="E10" s="17" t="s">
        <v>96</v>
      </c>
      <c r="F10" s="16" t="s">
        <v>97</v>
      </c>
      <c r="G10" s="16" t="s">
        <v>98</v>
      </c>
      <c r="H10" s="12"/>
      <c r="I10" s="12" t="s">
        <v>110</v>
      </c>
      <c r="J10" s="11"/>
      <c r="K10" s="13" t="s">
        <v>17</v>
      </c>
      <c r="L10" s="46" t="s">
        <v>711</v>
      </c>
      <c r="M10" s="15">
        <v>46315</v>
      </c>
      <c r="N10" s="14"/>
    </row>
    <row r="11" spans="1:15" ht="27.95" customHeight="1" x14ac:dyDescent="0.15">
      <c r="A11" s="10" t="s">
        <v>111</v>
      </c>
      <c r="B11" s="11" t="s">
        <v>93</v>
      </c>
      <c r="C11" s="16" t="s">
        <v>94</v>
      </c>
      <c r="D11" s="16" t="s">
        <v>95</v>
      </c>
      <c r="E11" s="17" t="s">
        <v>96</v>
      </c>
      <c r="F11" s="16" t="s">
        <v>97</v>
      </c>
      <c r="G11" s="16" t="s">
        <v>98</v>
      </c>
      <c r="H11" s="12"/>
      <c r="I11" s="12" t="s">
        <v>112</v>
      </c>
      <c r="K11" s="13" t="s">
        <v>17</v>
      </c>
      <c r="L11" s="46" t="s">
        <v>711</v>
      </c>
      <c r="M11" s="15">
        <v>46315</v>
      </c>
      <c r="N11" s="14"/>
      <c r="O11" s="47" t="s">
        <v>714</v>
      </c>
    </row>
    <row r="12" spans="1:15" ht="41.1" customHeight="1" x14ac:dyDescent="0.15">
      <c r="A12" s="18" t="s">
        <v>113</v>
      </c>
      <c r="B12" s="19" t="s">
        <v>114</v>
      </c>
      <c r="C12" s="20" t="s">
        <v>115</v>
      </c>
      <c r="D12" s="20" t="s">
        <v>116</v>
      </c>
      <c r="E12" s="19" t="s">
        <v>96</v>
      </c>
      <c r="F12" s="20" t="s">
        <v>117</v>
      </c>
      <c r="G12" s="20" t="s">
        <v>98</v>
      </c>
      <c r="H12" s="20" t="s">
        <v>118</v>
      </c>
      <c r="I12" s="20" t="s">
        <v>119</v>
      </c>
      <c r="J12" s="19"/>
      <c r="K12" s="13" t="s">
        <v>17</v>
      </c>
      <c r="L12" s="46" t="s">
        <v>711</v>
      </c>
      <c r="M12" s="15">
        <v>46315</v>
      </c>
      <c r="N12" s="14"/>
    </row>
    <row r="13" spans="1:15" ht="27.95" customHeight="1" x14ac:dyDescent="0.15">
      <c r="A13" s="18" t="s">
        <v>120</v>
      </c>
      <c r="B13" s="19" t="s">
        <v>114</v>
      </c>
      <c r="C13" s="21" t="s">
        <v>115</v>
      </c>
      <c r="D13" s="21" t="s">
        <v>116</v>
      </c>
      <c r="E13" s="22" t="s">
        <v>96</v>
      </c>
      <c r="F13" s="21" t="s">
        <v>117</v>
      </c>
      <c r="G13" s="21" t="s">
        <v>98</v>
      </c>
      <c r="H13" s="20"/>
      <c r="I13" s="20" t="s">
        <v>121</v>
      </c>
      <c r="J13" s="19"/>
      <c r="K13" s="13" t="s">
        <v>17</v>
      </c>
      <c r="L13" s="46" t="s">
        <v>711</v>
      </c>
      <c r="M13" s="15">
        <v>46315</v>
      </c>
      <c r="N13" s="14"/>
    </row>
    <row r="14" spans="1:15" ht="27.95" customHeight="1" x14ac:dyDescent="0.15">
      <c r="A14" s="18" t="s">
        <v>122</v>
      </c>
      <c r="B14" s="19" t="s">
        <v>114</v>
      </c>
      <c r="C14" s="21" t="s">
        <v>115</v>
      </c>
      <c r="D14" s="21" t="s">
        <v>116</v>
      </c>
      <c r="E14" s="22" t="s">
        <v>96</v>
      </c>
      <c r="F14" s="21" t="s">
        <v>117</v>
      </c>
      <c r="G14" s="21" t="s">
        <v>98</v>
      </c>
      <c r="H14" s="20"/>
      <c r="I14" s="20" t="s">
        <v>123</v>
      </c>
      <c r="J14" s="19"/>
      <c r="K14" s="13" t="s">
        <v>17</v>
      </c>
      <c r="L14" s="46" t="s">
        <v>711</v>
      </c>
      <c r="M14" s="15">
        <v>46315</v>
      </c>
      <c r="N14" s="14"/>
    </row>
    <row r="15" spans="1:15" ht="54" customHeight="1" x14ac:dyDescent="0.15">
      <c r="A15" s="10" t="s">
        <v>124</v>
      </c>
      <c r="B15" s="11" t="s">
        <v>125</v>
      </c>
      <c r="C15" s="12" t="s">
        <v>126</v>
      </c>
      <c r="D15" s="12" t="s">
        <v>127</v>
      </c>
      <c r="E15" s="11" t="s">
        <v>96</v>
      </c>
      <c r="F15" s="12" t="s">
        <v>128</v>
      </c>
      <c r="G15" s="12" t="s">
        <v>98</v>
      </c>
      <c r="H15" s="12" t="s">
        <v>129</v>
      </c>
      <c r="I15" s="12" t="s">
        <v>130</v>
      </c>
      <c r="J15" s="11"/>
      <c r="K15" s="13" t="s">
        <v>17</v>
      </c>
      <c r="L15" s="46" t="s">
        <v>711</v>
      </c>
      <c r="M15" s="15">
        <v>46315</v>
      </c>
      <c r="N15" s="14"/>
    </row>
    <row r="16" spans="1:15" ht="27.95" customHeight="1" x14ac:dyDescent="0.15">
      <c r="A16" s="10" t="s">
        <v>131</v>
      </c>
      <c r="B16" s="11" t="s">
        <v>125</v>
      </c>
      <c r="C16" s="16" t="s">
        <v>126</v>
      </c>
      <c r="D16" s="16" t="s">
        <v>127</v>
      </c>
      <c r="E16" s="17" t="s">
        <v>96</v>
      </c>
      <c r="F16" s="16" t="s">
        <v>128</v>
      </c>
      <c r="G16" s="16" t="s">
        <v>98</v>
      </c>
      <c r="H16" s="12"/>
      <c r="I16" s="12" t="s">
        <v>132</v>
      </c>
      <c r="J16" s="11"/>
      <c r="K16" s="13" t="s">
        <v>17</v>
      </c>
      <c r="L16" s="46" t="s">
        <v>711</v>
      </c>
      <c r="M16" s="15">
        <v>46315</v>
      </c>
      <c r="N16" s="14"/>
    </row>
    <row r="17" spans="1:14" ht="27.95" customHeight="1" x14ac:dyDescent="0.15">
      <c r="A17" s="10" t="s">
        <v>133</v>
      </c>
      <c r="B17" s="11" t="s">
        <v>125</v>
      </c>
      <c r="C17" s="16" t="s">
        <v>126</v>
      </c>
      <c r="D17" s="16" t="s">
        <v>127</v>
      </c>
      <c r="E17" s="17" t="s">
        <v>96</v>
      </c>
      <c r="F17" s="16" t="s">
        <v>128</v>
      </c>
      <c r="G17" s="16" t="s">
        <v>98</v>
      </c>
      <c r="H17" s="12"/>
      <c r="I17" s="12" t="s">
        <v>134</v>
      </c>
      <c r="J17" s="11"/>
      <c r="K17" s="13" t="s">
        <v>17</v>
      </c>
      <c r="L17" s="46" t="s">
        <v>711</v>
      </c>
      <c r="M17" s="15">
        <v>46315</v>
      </c>
      <c r="N17" s="14"/>
    </row>
    <row r="18" spans="1:14" ht="54" customHeight="1" x14ac:dyDescent="0.15">
      <c r="A18" s="18" t="s">
        <v>135</v>
      </c>
      <c r="B18" s="19" t="s">
        <v>136</v>
      </c>
      <c r="C18" s="20" t="s">
        <v>137</v>
      </c>
      <c r="D18" s="20" t="s">
        <v>127</v>
      </c>
      <c r="E18" s="19" t="s">
        <v>96</v>
      </c>
      <c r="F18" s="20" t="s">
        <v>128</v>
      </c>
      <c r="G18" s="20" t="s">
        <v>138</v>
      </c>
      <c r="H18" s="20" t="s">
        <v>139</v>
      </c>
      <c r="I18" s="20" t="s">
        <v>140</v>
      </c>
      <c r="J18" s="19"/>
      <c r="K18" s="48" t="s">
        <v>17</v>
      </c>
      <c r="L18" s="46" t="s">
        <v>711</v>
      </c>
      <c r="M18" s="15">
        <v>46315</v>
      </c>
      <c r="N18" s="14"/>
    </row>
    <row r="19" spans="1:14" ht="27.95" customHeight="1" x14ac:dyDescent="0.15">
      <c r="A19" s="18" t="s">
        <v>141</v>
      </c>
      <c r="B19" s="19" t="s">
        <v>136</v>
      </c>
      <c r="C19" s="21" t="s">
        <v>137</v>
      </c>
      <c r="D19" s="21" t="s">
        <v>127</v>
      </c>
      <c r="E19" s="22" t="s">
        <v>96</v>
      </c>
      <c r="F19" s="21" t="s">
        <v>128</v>
      </c>
      <c r="G19" s="21" t="s">
        <v>138</v>
      </c>
      <c r="H19" s="20"/>
      <c r="I19" s="20" t="s">
        <v>142</v>
      </c>
      <c r="J19" s="19"/>
      <c r="K19" s="13" t="s">
        <v>17</v>
      </c>
      <c r="L19" s="46" t="s">
        <v>711</v>
      </c>
      <c r="M19" s="15">
        <v>46315</v>
      </c>
      <c r="N19" s="14"/>
    </row>
    <row r="20" spans="1:14" ht="66.95" customHeight="1" x14ac:dyDescent="0.15">
      <c r="A20" s="10" t="s">
        <v>143</v>
      </c>
      <c r="B20" s="11" t="s">
        <v>144</v>
      </c>
      <c r="C20" s="12" t="s">
        <v>145</v>
      </c>
      <c r="D20" s="12" t="s">
        <v>146</v>
      </c>
      <c r="E20" s="11" t="s">
        <v>96</v>
      </c>
      <c r="F20" s="12" t="s">
        <v>97</v>
      </c>
      <c r="G20" s="12" t="s">
        <v>98</v>
      </c>
      <c r="H20" s="12" t="s">
        <v>147</v>
      </c>
      <c r="I20" s="12" t="s">
        <v>148</v>
      </c>
      <c r="J20" s="11"/>
      <c r="K20" s="13" t="s">
        <v>17</v>
      </c>
      <c r="L20" s="46" t="s">
        <v>711</v>
      </c>
      <c r="M20" s="15">
        <v>46315</v>
      </c>
      <c r="N20" s="14"/>
    </row>
    <row r="21" spans="1:14" ht="27.95" customHeight="1" x14ac:dyDescent="0.15">
      <c r="A21" s="10" t="s">
        <v>149</v>
      </c>
      <c r="B21" s="11" t="s">
        <v>144</v>
      </c>
      <c r="C21" s="16" t="s">
        <v>145</v>
      </c>
      <c r="D21" s="16" t="s">
        <v>146</v>
      </c>
      <c r="E21" s="17" t="s">
        <v>96</v>
      </c>
      <c r="F21" s="16" t="s">
        <v>97</v>
      </c>
      <c r="G21" s="16" t="s">
        <v>98</v>
      </c>
      <c r="H21" s="12"/>
      <c r="I21" s="12" t="s">
        <v>150</v>
      </c>
      <c r="J21" s="11"/>
      <c r="K21" s="13" t="s">
        <v>17</v>
      </c>
      <c r="L21" s="46" t="s">
        <v>711</v>
      </c>
      <c r="M21" s="15">
        <v>46315</v>
      </c>
      <c r="N21" s="14"/>
    </row>
    <row r="22" spans="1:14" ht="27.95" customHeight="1" x14ac:dyDescent="0.15">
      <c r="A22" s="10" t="s">
        <v>151</v>
      </c>
      <c r="B22" s="11" t="s">
        <v>144</v>
      </c>
      <c r="C22" s="16" t="s">
        <v>145</v>
      </c>
      <c r="D22" s="16" t="s">
        <v>146</v>
      </c>
      <c r="E22" s="17" t="s">
        <v>96</v>
      </c>
      <c r="F22" s="16" t="s">
        <v>97</v>
      </c>
      <c r="G22" s="16" t="s">
        <v>98</v>
      </c>
      <c r="H22" s="12"/>
      <c r="I22" s="12" t="s">
        <v>152</v>
      </c>
      <c r="J22" s="11"/>
      <c r="K22" s="13" t="s">
        <v>17</v>
      </c>
      <c r="L22" s="46" t="s">
        <v>711</v>
      </c>
      <c r="M22" s="15">
        <v>46315</v>
      </c>
      <c r="N22" s="14"/>
    </row>
    <row r="23" spans="1:14" ht="27.95" customHeight="1" x14ac:dyDescent="0.15">
      <c r="A23" s="10" t="s">
        <v>153</v>
      </c>
      <c r="B23" s="11" t="s">
        <v>144</v>
      </c>
      <c r="C23" s="16" t="s">
        <v>145</v>
      </c>
      <c r="D23" s="16" t="s">
        <v>146</v>
      </c>
      <c r="E23" s="17" t="s">
        <v>96</v>
      </c>
      <c r="F23" s="16" t="s">
        <v>97</v>
      </c>
      <c r="G23" s="16" t="s">
        <v>98</v>
      </c>
      <c r="H23" s="12"/>
      <c r="I23" s="12" t="s">
        <v>154</v>
      </c>
      <c r="J23" s="11"/>
      <c r="K23" s="13" t="s">
        <v>17</v>
      </c>
      <c r="L23" s="46" t="s">
        <v>711</v>
      </c>
      <c r="M23" s="49">
        <v>46315</v>
      </c>
      <c r="N23" s="14"/>
    </row>
    <row r="24" spans="1:14" ht="41.1" customHeight="1" x14ac:dyDescent="0.15">
      <c r="A24" s="18" t="s">
        <v>155</v>
      </c>
      <c r="B24" s="19" t="s">
        <v>156</v>
      </c>
      <c r="C24" s="20" t="s">
        <v>157</v>
      </c>
      <c r="D24" s="20" t="s">
        <v>127</v>
      </c>
      <c r="E24" s="19" t="s">
        <v>96</v>
      </c>
      <c r="F24" s="20" t="s">
        <v>97</v>
      </c>
      <c r="G24" s="20" t="s">
        <v>98</v>
      </c>
      <c r="H24" s="20" t="s">
        <v>158</v>
      </c>
      <c r="I24" s="20" t="s">
        <v>159</v>
      </c>
      <c r="J24" s="19"/>
      <c r="K24" s="13" t="s">
        <v>17</v>
      </c>
      <c r="L24" s="46" t="s">
        <v>711</v>
      </c>
      <c r="M24" s="15">
        <v>46315</v>
      </c>
      <c r="N24" s="14"/>
    </row>
    <row r="25" spans="1:14" ht="27.95" customHeight="1" x14ac:dyDescent="0.15">
      <c r="A25" s="18" t="s">
        <v>160</v>
      </c>
      <c r="B25" s="19" t="s">
        <v>156</v>
      </c>
      <c r="C25" s="21" t="s">
        <v>157</v>
      </c>
      <c r="D25" s="21" t="s">
        <v>127</v>
      </c>
      <c r="E25" s="22" t="s">
        <v>96</v>
      </c>
      <c r="F25" s="21" t="s">
        <v>97</v>
      </c>
      <c r="G25" s="21" t="s">
        <v>98</v>
      </c>
      <c r="H25" s="20"/>
      <c r="I25" s="20" t="s">
        <v>161</v>
      </c>
      <c r="J25" s="19"/>
      <c r="K25" s="13" t="s">
        <v>17</v>
      </c>
      <c r="L25" s="46" t="s">
        <v>711</v>
      </c>
      <c r="M25" s="15">
        <v>46315</v>
      </c>
      <c r="N25" s="14"/>
    </row>
    <row r="26" spans="1:14" ht="27.95" customHeight="1" x14ac:dyDescent="0.15">
      <c r="A26" s="10" t="s">
        <v>162</v>
      </c>
      <c r="B26" s="11" t="s">
        <v>163</v>
      </c>
      <c r="C26" s="12" t="s">
        <v>164</v>
      </c>
      <c r="D26" s="12" t="s">
        <v>165</v>
      </c>
      <c r="E26" s="11" t="s">
        <v>96</v>
      </c>
      <c r="F26" s="12" t="s">
        <v>166</v>
      </c>
      <c r="G26" s="12" t="s">
        <v>98</v>
      </c>
      <c r="H26" s="12" t="s">
        <v>167</v>
      </c>
      <c r="I26" s="12" t="s">
        <v>168</v>
      </c>
      <c r="J26" s="11"/>
      <c r="K26" s="13" t="s">
        <v>17</v>
      </c>
      <c r="L26" s="46" t="s">
        <v>711</v>
      </c>
      <c r="M26" s="15">
        <v>46315</v>
      </c>
      <c r="N26" s="14"/>
    </row>
    <row r="27" spans="1:14" ht="27.95" customHeight="1" x14ac:dyDescent="0.15">
      <c r="A27" s="10" t="s">
        <v>169</v>
      </c>
      <c r="B27" s="11" t="s">
        <v>163</v>
      </c>
      <c r="C27" s="16" t="s">
        <v>164</v>
      </c>
      <c r="D27" s="16" t="s">
        <v>165</v>
      </c>
      <c r="E27" s="17" t="s">
        <v>96</v>
      </c>
      <c r="F27" s="16" t="s">
        <v>166</v>
      </c>
      <c r="G27" s="16" t="s">
        <v>98</v>
      </c>
      <c r="H27" s="12"/>
      <c r="I27" s="12" t="s">
        <v>170</v>
      </c>
      <c r="J27" s="11"/>
      <c r="K27" s="13" t="s">
        <v>17</v>
      </c>
      <c r="L27" s="46" t="s">
        <v>711</v>
      </c>
      <c r="M27" s="15">
        <v>46315</v>
      </c>
      <c r="N27" s="14"/>
    </row>
    <row r="28" spans="1:14" ht="27.95" customHeight="1" x14ac:dyDescent="0.15">
      <c r="A28" s="10" t="s">
        <v>171</v>
      </c>
      <c r="B28" s="11" t="s">
        <v>163</v>
      </c>
      <c r="C28" s="16" t="s">
        <v>164</v>
      </c>
      <c r="D28" s="16" t="s">
        <v>165</v>
      </c>
      <c r="E28" s="17" t="s">
        <v>96</v>
      </c>
      <c r="F28" s="16" t="s">
        <v>166</v>
      </c>
      <c r="G28" s="16" t="s">
        <v>98</v>
      </c>
      <c r="H28" s="12"/>
      <c r="I28" s="12" t="s">
        <v>172</v>
      </c>
      <c r="J28" s="11"/>
      <c r="K28" s="13" t="s">
        <v>17</v>
      </c>
      <c r="L28" s="46" t="s">
        <v>711</v>
      </c>
      <c r="M28" s="15">
        <v>46315</v>
      </c>
      <c r="N28" s="14"/>
    </row>
    <row r="29" spans="1:14" ht="41.1" customHeight="1" x14ac:dyDescent="0.15">
      <c r="A29" s="18" t="s">
        <v>173</v>
      </c>
      <c r="B29" s="19" t="s">
        <v>174</v>
      </c>
      <c r="C29" s="20" t="s">
        <v>175</v>
      </c>
      <c r="D29" s="20" t="s">
        <v>176</v>
      </c>
      <c r="E29" s="19" t="s">
        <v>96</v>
      </c>
      <c r="F29" s="20" t="s">
        <v>97</v>
      </c>
      <c r="G29" s="20" t="s">
        <v>98</v>
      </c>
      <c r="H29" s="20" t="s">
        <v>177</v>
      </c>
      <c r="I29" s="20" t="s">
        <v>178</v>
      </c>
      <c r="J29" s="19"/>
      <c r="K29" s="13" t="s">
        <v>17</v>
      </c>
      <c r="L29" s="46" t="s">
        <v>711</v>
      </c>
      <c r="M29" s="15">
        <v>46315</v>
      </c>
      <c r="N29" s="14"/>
    </row>
    <row r="30" spans="1:14" ht="15.95" customHeight="1" x14ac:dyDescent="0.15">
      <c r="A30" s="18" t="s">
        <v>179</v>
      </c>
      <c r="B30" s="19" t="s">
        <v>174</v>
      </c>
      <c r="C30" s="21" t="s">
        <v>175</v>
      </c>
      <c r="D30" s="21" t="s">
        <v>176</v>
      </c>
      <c r="E30" s="22" t="s">
        <v>96</v>
      </c>
      <c r="F30" s="21" t="s">
        <v>97</v>
      </c>
      <c r="G30" s="21" t="s">
        <v>98</v>
      </c>
      <c r="H30" s="20" t="s">
        <v>180</v>
      </c>
      <c r="I30" s="20" t="s">
        <v>178</v>
      </c>
      <c r="J30" s="19"/>
      <c r="K30" s="13" t="s">
        <v>17</v>
      </c>
      <c r="L30" s="46" t="s">
        <v>711</v>
      </c>
      <c r="M30" s="15">
        <v>46315</v>
      </c>
      <c r="N30" s="14"/>
    </row>
    <row r="31" spans="1:14" ht="15.95" customHeight="1" x14ac:dyDescent="0.15">
      <c r="A31" s="18" t="s">
        <v>181</v>
      </c>
      <c r="B31" s="19" t="s">
        <v>174</v>
      </c>
      <c r="C31" s="21" t="s">
        <v>175</v>
      </c>
      <c r="D31" s="21" t="s">
        <v>176</v>
      </c>
      <c r="E31" s="22" t="s">
        <v>96</v>
      </c>
      <c r="F31" s="21" t="s">
        <v>97</v>
      </c>
      <c r="G31" s="21" t="s">
        <v>98</v>
      </c>
      <c r="H31" s="20" t="s">
        <v>182</v>
      </c>
      <c r="I31" s="20" t="s">
        <v>178</v>
      </c>
      <c r="J31" s="19"/>
      <c r="K31" s="13" t="s">
        <v>17</v>
      </c>
      <c r="L31" s="46" t="s">
        <v>711</v>
      </c>
      <c r="M31" s="15">
        <v>46315</v>
      </c>
      <c r="N31" s="14"/>
    </row>
    <row r="32" spans="1:14" ht="15.95" customHeight="1" x14ac:dyDescent="0.15">
      <c r="A32" s="18" t="s">
        <v>183</v>
      </c>
      <c r="B32" s="19" t="s">
        <v>174</v>
      </c>
      <c r="C32" s="21" t="s">
        <v>175</v>
      </c>
      <c r="D32" s="21" t="s">
        <v>176</v>
      </c>
      <c r="E32" s="22" t="s">
        <v>96</v>
      </c>
      <c r="F32" s="21" t="s">
        <v>97</v>
      </c>
      <c r="G32" s="21" t="s">
        <v>98</v>
      </c>
      <c r="H32" s="20" t="s">
        <v>184</v>
      </c>
      <c r="I32" s="20" t="s">
        <v>178</v>
      </c>
      <c r="J32" s="19"/>
      <c r="K32" s="13" t="s">
        <v>17</v>
      </c>
      <c r="L32" s="46" t="s">
        <v>711</v>
      </c>
      <c r="M32" s="15">
        <v>46315</v>
      </c>
      <c r="N32" s="14"/>
    </row>
    <row r="33" spans="1:14" ht="15.95" customHeight="1" x14ac:dyDescent="0.15">
      <c r="A33" s="18" t="s">
        <v>185</v>
      </c>
      <c r="B33" s="19" t="s">
        <v>174</v>
      </c>
      <c r="C33" s="21" t="s">
        <v>175</v>
      </c>
      <c r="D33" s="21" t="s">
        <v>176</v>
      </c>
      <c r="E33" s="22" t="s">
        <v>96</v>
      </c>
      <c r="F33" s="21" t="s">
        <v>97</v>
      </c>
      <c r="G33" s="21" t="s">
        <v>98</v>
      </c>
      <c r="H33" s="20" t="s">
        <v>186</v>
      </c>
      <c r="I33" s="20" t="s">
        <v>187</v>
      </c>
      <c r="J33" s="19"/>
      <c r="K33" s="13" t="s">
        <v>17</v>
      </c>
      <c r="L33" s="46" t="s">
        <v>711</v>
      </c>
      <c r="M33" s="15">
        <v>46315</v>
      </c>
      <c r="N33" s="14"/>
    </row>
    <row r="34" spans="1:14" ht="27.95" customHeight="1" x14ac:dyDescent="0.15">
      <c r="A34" s="10" t="s">
        <v>188</v>
      </c>
      <c r="B34" s="11" t="s">
        <v>189</v>
      </c>
      <c r="C34" s="12" t="s">
        <v>190</v>
      </c>
      <c r="D34" s="12" t="s">
        <v>176</v>
      </c>
      <c r="E34" s="11" t="s">
        <v>96</v>
      </c>
      <c r="F34" s="12" t="s">
        <v>117</v>
      </c>
      <c r="G34" s="12" t="s">
        <v>98</v>
      </c>
      <c r="H34" s="12" t="s">
        <v>191</v>
      </c>
      <c r="I34" s="12" t="s">
        <v>192</v>
      </c>
      <c r="J34" s="11"/>
      <c r="K34" s="13" t="s">
        <v>17</v>
      </c>
      <c r="L34" s="46" t="s">
        <v>711</v>
      </c>
      <c r="M34" s="15">
        <v>46315</v>
      </c>
      <c r="N34" s="14"/>
    </row>
    <row r="35" spans="1:14" ht="27.95" customHeight="1" x14ac:dyDescent="0.15">
      <c r="A35" s="10" t="s">
        <v>193</v>
      </c>
      <c r="B35" s="11" t="s">
        <v>189</v>
      </c>
      <c r="C35" s="16" t="s">
        <v>190</v>
      </c>
      <c r="D35" s="16" t="s">
        <v>176</v>
      </c>
      <c r="E35" s="17" t="s">
        <v>96</v>
      </c>
      <c r="F35" s="16" t="s">
        <v>117</v>
      </c>
      <c r="G35" s="16" t="s">
        <v>98</v>
      </c>
      <c r="H35" s="12" t="s">
        <v>194</v>
      </c>
      <c r="I35" s="12" t="s">
        <v>195</v>
      </c>
      <c r="J35" s="11"/>
      <c r="K35" s="13" t="s">
        <v>17</v>
      </c>
      <c r="L35" s="46" t="s">
        <v>711</v>
      </c>
      <c r="M35" s="15">
        <v>46315</v>
      </c>
      <c r="N35" s="14"/>
    </row>
    <row r="36" spans="1:14" ht="41.1" customHeight="1" x14ac:dyDescent="0.15">
      <c r="A36" s="18" t="s">
        <v>196</v>
      </c>
      <c r="B36" s="19" t="s">
        <v>197</v>
      </c>
      <c r="C36" s="20" t="s">
        <v>198</v>
      </c>
      <c r="D36" s="20" t="s">
        <v>199</v>
      </c>
      <c r="E36" s="19" t="s">
        <v>96</v>
      </c>
      <c r="F36" s="20" t="s">
        <v>117</v>
      </c>
      <c r="G36" s="20" t="s">
        <v>98</v>
      </c>
      <c r="H36" s="20" t="s">
        <v>200</v>
      </c>
      <c r="I36" s="20" t="s">
        <v>201</v>
      </c>
      <c r="J36" s="19"/>
      <c r="K36" s="13" t="s">
        <v>17</v>
      </c>
      <c r="L36" s="46" t="s">
        <v>711</v>
      </c>
      <c r="M36" s="15">
        <v>46315</v>
      </c>
      <c r="N36" s="14"/>
    </row>
    <row r="37" spans="1:14" ht="27.95" customHeight="1" x14ac:dyDescent="0.15">
      <c r="A37" s="18" t="s">
        <v>202</v>
      </c>
      <c r="B37" s="19" t="s">
        <v>197</v>
      </c>
      <c r="C37" s="21" t="s">
        <v>198</v>
      </c>
      <c r="D37" s="21" t="s">
        <v>199</v>
      </c>
      <c r="E37" s="22" t="s">
        <v>96</v>
      </c>
      <c r="F37" s="21" t="s">
        <v>117</v>
      </c>
      <c r="G37" s="21" t="s">
        <v>98</v>
      </c>
      <c r="H37" s="20"/>
      <c r="I37" s="20" t="s">
        <v>203</v>
      </c>
      <c r="J37" s="19"/>
      <c r="K37" s="13" t="s">
        <v>17</v>
      </c>
      <c r="L37" s="46" t="s">
        <v>711</v>
      </c>
      <c r="M37" s="15">
        <v>46315</v>
      </c>
      <c r="N37" s="14"/>
    </row>
    <row r="38" spans="1:14" ht="27.95" customHeight="1" x14ac:dyDescent="0.15">
      <c r="A38" s="18" t="s">
        <v>204</v>
      </c>
      <c r="B38" s="19" t="s">
        <v>197</v>
      </c>
      <c r="C38" s="21" t="s">
        <v>198</v>
      </c>
      <c r="D38" s="21" t="s">
        <v>199</v>
      </c>
      <c r="E38" s="22" t="s">
        <v>96</v>
      </c>
      <c r="F38" s="21" t="s">
        <v>117</v>
      </c>
      <c r="G38" s="21" t="s">
        <v>98</v>
      </c>
      <c r="H38" s="20"/>
      <c r="I38" s="20" t="s">
        <v>205</v>
      </c>
      <c r="J38" s="19"/>
      <c r="K38" s="13" t="s">
        <v>17</v>
      </c>
      <c r="L38" s="46" t="s">
        <v>711</v>
      </c>
      <c r="M38" s="15">
        <v>46315</v>
      </c>
      <c r="N38" s="14"/>
    </row>
    <row r="39" spans="1:14" ht="54" customHeight="1" x14ac:dyDescent="0.15">
      <c r="A39" s="10" t="s">
        <v>206</v>
      </c>
      <c r="B39" s="11" t="s">
        <v>207</v>
      </c>
      <c r="C39" s="12" t="s">
        <v>208</v>
      </c>
      <c r="D39" s="12" t="s">
        <v>209</v>
      </c>
      <c r="E39" s="11" t="s">
        <v>96</v>
      </c>
      <c r="F39" s="12" t="s">
        <v>210</v>
      </c>
      <c r="G39" s="12" t="s">
        <v>98</v>
      </c>
      <c r="H39" s="12" t="s">
        <v>211</v>
      </c>
      <c r="I39" s="12" t="s">
        <v>212</v>
      </c>
      <c r="J39" s="11"/>
      <c r="K39" s="13" t="s">
        <v>17</v>
      </c>
      <c r="L39" s="46" t="s">
        <v>711</v>
      </c>
      <c r="M39" s="15">
        <v>46315</v>
      </c>
      <c r="N39" s="14"/>
    </row>
    <row r="40" spans="1:14" ht="15.95" customHeight="1" x14ac:dyDescent="0.15">
      <c r="A40" s="10" t="s">
        <v>213</v>
      </c>
      <c r="B40" s="11" t="s">
        <v>207</v>
      </c>
      <c r="C40" s="16" t="s">
        <v>208</v>
      </c>
      <c r="D40" s="16" t="s">
        <v>209</v>
      </c>
      <c r="E40" s="17" t="s">
        <v>96</v>
      </c>
      <c r="F40" s="16" t="s">
        <v>210</v>
      </c>
      <c r="G40" s="16" t="s">
        <v>98</v>
      </c>
      <c r="H40" s="12" t="s">
        <v>214</v>
      </c>
      <c r="I40" s="12" t="s">
        <v>215</v>
      </c>
      <c r="J40" s="11"/>
      <c r="K40" s="13" t="s">
        <v>17</v>
      </c>
      <c r="L40" s="46" t="s">
        <v>711</v>
      </c>
      <c r="M40" s="15">
        <v>46315</v>
      </c>
      <c r="N40" s="14"/>
    </row>
    <row r="41" spans="1:14" ht="15.95" customHeight="1" x14ac:dyDescent="0.15">
      <c r="A41" s="10" t="s">
        <v>216</v>
      </c>
      <c r="B41" s="11" t="s">
        <v>207</v>
      </c>
      <c r="C41" s="16" t="s">
        <v>208</v>
      </c>
      <c r="D41" s="16" t="s">
        <v>209</v>
      </c>
      <c r="E41" s="17" t="s">
        <v>96</v>
      </c>
      <c r="F41" s="16" t="s">
        <v>210</v>
      </c>
      <c r="G41" s="16" t="s">
        <v>98</v>
      </c>
      <c r="H41" s="12" t="s">
        <v>217</v>
      </c>
      <c r="I41" s="12" t="s">
        <v>215</v>
      </c>
      <c r="J41" s="11"/>
      <c r="K41" s="13" t="s">
        <v>17</v>
      </c>
      <c r="L41" s="46" t="s">
        <v>711</v>
      </c>
      <c r="M41" s="15">
        <v>46315</v>
      </c>
      <c r="N41" s="14"/>
    </row>
    <row r="42" spans="1:14" ht="15.95" customHeight="1" x14ac:dyDescent="0.15">
      <c r="A42" s="10" t="s">
        <v>218</v>
      </c>
      <c r="B42" s="11" t="s">
        <v>207</v>
      </c>
      <c r="C42" s="16" t="s">
        <v>208</v>
      </c>
      <c r="D42" s="16" t="s">
        <v>209</v>
      </c>
      <c r="E42" s="17" t="s">
        <v>96</v>
      </c>
      <c r="F42" s="16" t="s">
        <v>210</v>
      </c>
      <c r="G42" s="16" t="s">
        <v>98</v>
      </c>
      <c r="H42" s="12" t="s">
        <v>219</v>
      </c>
      <c r="I42" s="12" t="s">
        <v>215</v>
      </c>
      <c r="J42" s="11"/>
      <c r="K42" s="13" t="s">
        <v>17</v>
      </c>
      <c r="L42" s="46" t="s">
        <v>711</v>
      </c>
      <c r="M42" s="15">
        <v>46315</v>
      </c>
      <c r="N42" s="14"/>
    </row>
    <row r="43" spans="1:14" ht="15.95" customHeight="1" x14ac:dyDescent="0.15">
      <c r="A43" s="10" t="s">
        <v>220</v>
      </c>
      <c r="B43" s="11" t="s">
        <v>207</v>
      </c>
      <c r="C43" s="16" t="s">
        <v>208</v>
      </c>
      <c r="D43" s="16" t="s">
        <v>209</v>
      </c>
      <c r="E43" s="17" t="s">
        <v>96</v>
      </c>
      <c r="F43" s="16" t="s">
        <v>210</v>
      </c>
      <c r="G43" s="16" t="s">
        <v>98</v>
      </c>
      <c r="H43" s="12" t="s">
        <v>221</v>
      </c>
      <c r="I43" s="12" t="s">
        <v>215</v>
      </c>
      <c r="J43" s="11"/>
      <c r="K43" s="13" t="s">
        <v>17</v>
      </c>
      <c r="L43" s="46" t="s">
        <v>711</v>
      </c>
      <c r="M43" s="15">
        <v>46315</v>
      </c>
      <c r="N43" s="14"/>
    </row>
    <row r="44" spans="1:14" ht="27.95" customHeight="1" x14ac:dyDescent="0.15">
      <c r="A44" s="10" t="s">
        <v>222</v>
      </c>
      <c r="B44" s="11" t="s">
        <v>207</v>
      </c>
      <c r="C44" s="16" t="s">
        <v>208</v>
      </c>
      <c r="D44" s="16" t="s">
        <v>209</v>
      </c>
      <c r="E44" s="17" t="s">
        <v>96</v>
      </c>
      <c r="F44" s="16" t="s">
        <v>210</v>
      </c>
      <c r="G44" s="16" t="s">
        <v>98</v>
      </c>
      <c r="H44" s="12" t="s">
        <v>223</v>
      </c>
      <c r="I44" s="12" t="s">
        <v>224</v>
      </c>
      <c r="J44" s="11"/>
      <c r="K44" s="13" t="s">
        <v>17</v>
      </c>
      <c r="L44" s="46" t="s">
        <v>711</v>
      </c>
      <c r="M44" s="15">
        <v>46315</v>
      </c>
      <c r="N44" s="14"/>
    </row>
    <row r="45" spans="1:14" ht="15.95" customHeight="1" x14ac:dyDescent="0.15">
      <c r="A45" s="10" t="s">
        <v>225</v>
      </c>
      <c r="B45" s="11" t="s">
        <v>207</v>
      </c>
      <c r="C45" s="16" t="s">
        <v>208</v>
      </c>
      <c r="D45" s="16" t="s">
        <v>209</v>
      </c>
      <c r="E45" s="17" t="s">
        <v>96</v>
      </c>
      <c r="F45" s="16" t="s">
        <v>210</v>
      </c>
      <c r="G45" s="16" t="s">
        <v>98</v>
      </c>
      <c r="H45" s="12" t="s">
        <v>226</v>
      </c>
      <c r="I45" s="12" t="s">
        <v>227</v>
      </c>
      <c r="J45" s="11"/>
      <c r="K45" s="13" t="s">
        <v>17</v>
      </c>
      <c r="L45" s="46" t="s">
        <v>711</v>
      </c>
      <c r="M45" s="15">
        <v>46315</v>
      </c>
      <c r="N45" s="14"/>
    </row>
    <row r="46" spans="1:14" ht="41.1" customHeight="1" x14ac:dyDescent="0.15">
      <c r="A46" s="18" t="s">
        <v>228</v>
      </c>
      <c r="B46" s="19" t="s">
        <v>229</v>
      </c>
      <c r="C46" s="20" t="s">
        <v>230</v>
      </c>
      <c r="D46" s="20" t="s">
        <v>231</v>
      </c>
      <c r="E46" s="19" t="s">
        <v>96</v>
      </c>
      <c r="F46" s="20" t="s">
        <v>97</v>
      </c>
      <c r="G46" s="20" t="s">
        <v>98</v>
      </c>
      <c r="H46" s="20" t="s">
        <v>232</v>
      </c>
      <c r="I46" s="20" t="s">
        <v>233</v>
      </c>
      <c r="J46" s="19"/>
      <c r="K46" s="13" t="s">
        <v>17</v>
      </c>
      <c r="L46" s="46" t="s">
        <v>711</v>
      </c>
      <c r="M46" s="15">
        <v>46315</v>
      </c>
      <c r="N46" s="14"/>
    </row>
    <row r="47" spans="1:14" ht="27.95" customHeight="1" x14ac:dyDescent="0.15">
      <c r="A47" s="18" t="s">
        <v>234</v>
      </c>
      <c r="B47" s="19" t="s">
        <v>229</v>
      </c>
      <c r="C47" s="21" t="s">
        <v>230</v>
      </c>
      <c r="D47" s="21" t="s">
        <v>231</v>
      </c>
      <c r="E47" s="22" t="s">
        <v>96</v>
      </c>
      <c r="F47" s="21" t="s">
        <v>97</v>
      </c>
      <c r="G47" s="21" t="s">
        <v>98</v>
      </c>
      <c r="H47" s="20"/>
      <c r="I47" s="20" t="s">
        <v>235</v>
      </c>
      <c r="J47" s="19"/>
      <c r="K47" s="13" t="s">
        <v>17</v>
      </c>
      <c r="L47" s="46" t="s">
        <v>711</v>
      </c>
      <c r="M47" s="15">
        <v>46315</v>
      </c>
      <c r="N47" s="14"/>
    </row>
    <row r="48" spans="1:14" ht="27.95" customHeight="1" x14ac:dyDescent="0.15">
      <c r="A48" s="10" t="s">
        <v>236</v>
      </c>
      <c r="B48" s="11" t="s">
        <v>237</v>
      </c>
      <c r="C48" s="12" t="s">
        <v>238</v>
      </c>
      <c r="D48" s="12" t="s">
        <v>239</v>
      </c>
      <c r="E48" s="11" t="s">
        <v>96</v>
      </c>
      <c r="F48" s="12" t="s">
        <v>240</v>
      </c>
      <c r="G48" s="12" t="s">
        <v>98</v>
      </c>
      <c r="H48" s="12" t="s">
        <v>241</v>
      </c>
      <c r="I48" s="12" t="s">
        <v>242</v>
      </c>
      <c r="J48" s="11"/>
      <c r="K48" s="13" t="s">
        <v>17</v>
      </c>
      <c r="L48" s="46" t="s">
        <v>711</v>
      </c>
      <c r="M48" s="15">
        <v>46315</v>
      </c>
      <c r="N48" s="14"/>
    </row>
    <row r="49" spans="1:14" ht="54" customHeight="1" x14ac:dyDescent="0.15">
      <c r="A49" s="18" t="s">
        <v>243</v>
      </c>
      <c r="B49" s="19" t="s">
        <v>244</v>
      </c>
      <c r="C49" s="20" t="s">
        <v>245</v>
      </c>
      <c r="D49" s="20" t="s">
        <v>246</v>
      </c>
      <c r="E49" s="19" t="s">
        <v>247</v>
      </c>
      <c r="F49" s="20" t="s">
        <v>248</v>
      </c>
      <c r="G49" s="20" t="s">
        <v>98</v>
      </c>
      <c r="H49" s="20" t="s">
        <v>249</v>
      </c>
      <c r="I49" s="20" t="s">
        <v>250</v>
      </c>
      <c r="J49" s="19"/>
      <c r="K49" s="13" t="s">
        <v>17</v>
      </c>
      <c r="L49" s="46" t="s">
        <v>711</v>
      </c>
      <c r="M49" s="15">
        <v>46315</v>
      </c>
      <c r="N49" s="14"/>
    </row>
    <row r="50" spans="1:14" ht="41.1" customHeight="1" x14ac:dyDescent="0.15">
      <c r="A50" s="18" t="s">
        <v>251</v>
      </c>
      <c r="B50" s="19" t="s">
        <v>244</v>
      </c>
      <c r="C50" s="21" t="s">
        <v>245</v>
      </c>
      <c r="D50" s="21" t="s">
        <v>246</v>
      </c>
      <c r="E50" s="22" t="s">
        <v>247</v>
      </c>
      <c r="F50" s="21" t="s">
        <v>248</v>
      </c>
      <c r="G50" s="21" t="s">
        <v>98</v>
      </c>
      <c r="H50" s="20" t="s">
        <v>252</v>
      </c>
      <c r="I50" s="20" t="s">
        <v>253</v>
      </c>
      <c r="J50" s="19"/>
      <c r="K50" s="13" t="s">
        <v>17</v>
      </c>
      <c r="L50" s="46" t="s">
        <v>711</v>
      </c>
      <c r="M50" s="15">
        <v>46315</v>
      </c>
      <c r="N50" s="14"/>
    </row>
    <row r="51" spans="1:14" ht="41.1" customHeight="1" x14ac:dyDescent="0.15">
      <c r="A51" s="18" t="s">
        <v>254</v>
      </c>
      <c r="B51" s="19" t="s">
        <v>244</v>
      </c>
      <c r="C51" s="21" t="s">
        <v>245</v>
      </c>
      <c r="D51" s="21" t="s">
        <v>246</v>
      </c>
      <c r="E51" s="22" t="s">
        <v>247</v>
      </c>
      <c r="F51" s="21" t="s">
        <v>248</v>
      </c>
      <c r="G51" s="21" t="s">
        <v>98</v>
      </c>
      <c r="H51" s="20" t="s">
        <v>255</v>
      </c>
      <c r="I51" s="20" t="s">
        <v>256</v>
      </c>
      <c r="J51" s="19"/>
      <c r="K51" s="13" t="s">
        <v>17</v>
      </c>
      <c r="L51" s="46" t="s">
        <v>711</v>
      </c>
      <c r="M51" s="15">
        <v>46315</v>
      </c>
      <c r="N51" s="14"/>
    </row>
    <row r="52" spans="1:14" ht="27.95" customHeight="1" x14ac:dyDescent="0.15">
      <c r="A52" s="18" t="s">
        <v>257</v>
      </c>
      <c r="B52" s="19" t="s">
        <v>244</v>
      </c>
      <c r="C52" s="21" t="s">
        <v>245</v>
      </c>
      <c r="D52" s="21" t="s">
        <v>246</v>
      </c>
      <c r="E52" s="22" t="s">
        <v>247</v>
      </c>
      <c r="F52" s="21" t="s">
        <v>248</v>
      </c>
      <c r="G52" s="21" t="s">
        <v>98</v>
      </c>
      <c r="H52" s="20" t="s">
        <v>258</v>
      </c>
      <c r="I52" s="20" t="s">
        <v>259</v>
      </c>
      <c r="J52" s="19"/>
      <c r="K52" s="13" t="s">
        <v>17</v>
      </c>
      <c r="L52" s="46" t="s">
        <v>711</v>
      </c>
      <c r="M52" s="15">
        <v>46315</v>
      </c>
      <c r="N52" s="14"/>
    </row>
    <row r="53" spans="1:14" ht="41.1" customHeight="1" x14ac:dyDescent="0.15">
      <c r="A53" s="10" t="s">
        <v>260</v>
      </c>
      <c r="B53" s="11" t="s">
        <v>261</v>
      </c>
      <c r="C53" s="12" t="s">
        <v>262</v>
      </c>
      <c r="D53" s="12" t="s">
        <v>263</v>
      </c>
      <c r="E53" s="11" t="s">
        <v>247</v>
      </c>
      <c r="F53" s="12" t="s">
        <v>97</v>
      </c>
      <c r="G53" s="12" t="s">
        <v>98</v>
      </c>
      <c r="H53" s="12" t="s">
        <v>264</v>
      </c>
      <c r="I53" s="12" t="s">
        <v>265</v>
      </c>
      <c r="J53" s="11"/>
      <c r="K53" s="13" t="s">
        <v>17</v>
      </c>
      <c r="L53" s="46" t="s">
        <v>711</v>
      </c>
      <c r="M53" s="15">
        <v>46315</v>
      </c>
      <c r="N53" s="14"/>
    </row>
    <row r="54" spans="1:14" ht="15.95" customHeight="1" x14ac:dyDescent="0.15">
      <c r="A54" s="10" t="s">
        <v>266</v>
      </c>
      <c r="B54" s="11" t="s">
        <v>261</v>
      </c>
      <c r="C54" s="16" t="s">
        <v>262</v>
      </c>
      <c r="D54" s="16" t="s">
        <v>263</v>
      </c>
      <c r="E54" s="17" t="s">
        <v>247</v>
      </c>
      <c r="F54" s="16" t="s">
        <v>97</v>
      </c>
      <c r="G54" s="16" t="s">
        <v>98</v>
      </c>
      <c r="H54" s="12" t="s">
        <v>267</v>
      </c>
      <c r="I54" s="12" t="s">
        <v>268</v>
      </c>
      <c r="J54" s="11"/>
      <c r="K54" s="13" t="s">
        <v>17</v>
      </c>
      <c r="L54" s="46" t="s">
        <v>711</v>
      </c>
      <c r="M54" s="15">
        <v>46315</v>
      </c>
      <c r="N54" s="14"/>
    </row>
    <row r="55" spans="1:14" ht="54" customHeight="1" x14ac:dyDescent="0.15">
      <c r="A55" s="18" t="s">
        <v>269</v>
      </c>
      <c r="B55" s="19" t="s">
        <v>270</v>
      </c>
      <c r="C55" s="20" t="s">
        <v>271</v>
      </c>
      <c r="D55" s="20" t="s">
        <v>272</v>
      </c>
      <c r="E55" s="19" t="s">
        <v>247</v>
      </c>
      <c r="F55" s="20" t="s">
        <v>128</v>
      </c>
      <c r="G55" s="20" t="s">
        <v>98</v>
      </c>
      <c r="H55" s="20" t="s">
        <v>273</v>
      </c>
      <c r="I55" s="20" t="s">
        <v>274</v>
      </c>
      <c r="J55" s="19"/>
      <c r="K55" s="13" t="s">
        <v>17</v>
      </c>
      <c r="L55" s="46" t="s">
        <v>711</v>
      </c>
      <c r="M55" s="15">
        <v>46315</v>
      </c>
      <c r="N55" s="14"/>
    </row>
    <row r="56" spans="1:14" ht="27.95" customHeight="1" x14ac:dyDescent="0.15">
      <c r="A56" s="18" t="s">
        <v>275</v>
      </c>
      <c r="B56" s="19" t="s">
        <v>270</v>
      </c>
      <c r="C56" s="21" t="s">
        <v>271</v>
      </c>
      <c r="D56" s="21" t="s">
        <v>272</v>
      </c>
      <c r="E56" s="22" t="s">
        <v>247</v>
      </c>
      <c r="F56" s="21" t="s">
        <v>128</v>
      </c>
      <c r="G56" s="21" t="s">
        <v>98</v>
      </c>
      <c r="H56" s="20" t="s">
        <v>276</v>
      </c>
      <c r="I56" s="20" t="s">
        <v>277</v>
      </c>
      <c r="J56" s="19"/>
      <c r="K56" s="13" t="s">
        <v>17</v>
      </c>
      <c r="L56" s="46" t="s">
        <v>711</v>
      </c>
      <c r="M56" s="15">
        <v>46315</v>
      </c>
      <c r="N56" s="14"/>
    </row>
    <row r="57" spans="1:14" ht="27.95" customHeight="1" x14ac:dyDescent="0.15">
      <c r="A57" s="18" t="s">
        <v>278</v>
      </c>
      <c r="B57" s="19" t="s">
        <v>270</v>
      </c>
      <c r="C57" s="21" t="s">
        <v>271</v>
      </c>
      <c r="D57" s="21" t="s">
        <v>272</v>
      </c>
      <c r="E57" s="22" t="s">
        <v>247</v>
      </c>
      <c r="F57" s="21" t="s">
        <v>128</v>
      </c>
      <c r="G57" s="21" t="s">
        <v>98</v>
      </c>
      <c r="H57" s="20" t="s">
        <v>279</v>
      </c>
      <c r="I57" s="20" t="s">
        <v>277</v>
      </c>
      <c r="J57" s="19"/>
      <c r="K57" s="13" t="s">
        <v>17</v>
      </c>
      <c r="L57" s="46" t="s">
        <v>711</v>
      </c>
      <c r="M57" s="15">
        <v>46315</v>
      </c>
      <c r="N57" s="14"/>
    </row>
    <row r="58" spans="1:14" ht="27.95" customHeight="1" x14ac:dyDescent="0.15">
      <c r="A58" s="18" t="s">
        <v>280</v>
      </c>
      <c r="B58" s="19" t="s">
        <v>270</v>
      </c>
      <c r="C58" s="21" t="s">
        <v>271</v>
      </c>
      <c r="D58" s="21" t="s">
        <v>272</v>
      </c>
      <c r="E58" s="22" t="s">
        <v>247</v>
      </c>
      <c r="F58" s="21" t="s">
        <v>128</v>
      </c>
      <c r="G58" s="21" t="s">
        <v>98</v>
      </c>
      <c r="H58" s="20" t="s">
        <v>281</v>
      </c>
      <c r="I58" s="20" t="s">
        <v>282</v>
      </c>
      <c r="J58" s="19"/>
      <c r="K58" s="13" t="s">
        <v>17</v>
      </c>
      <c r="L58" s="46" t="s">
        <v>711</v>
      </c>
      <c r="M58" s="15">
        <v>46315</v>
      </c>
      <c r="N58" s="14"/>
    </row>
    <row r="59" spans="1:14" ht="41.1" customHeight="1" x14ac:dyDescent="0.15">
      <c r="A59" s="10" t="s">
        <v>283</v>
      </c>
      <c r="B59" s="11" t="s">
        <v>284</v>
      </c>
      <c r="C59" s="12" t="s">
        <v>285</v>
      </c>
      <c r="D59" s="12" t="s">
        <v>286</v>
      </c>
      <c r="E59" s="11" t="s">
        <v>247</v>
      </c>
      <c r="F59" s="12" t="s">
        <v>248</v>
      </c>
      <c r="G59" s="12" t="s">
        <v>98</v>
      </c>
      <c r="H59" s="12" t="s">
        <v>287</v>
      </c>
      <c r="I59" s="12" t="s">
        <v>288</v>
      </c>
      <c r="J59" s="11"/>
      <c r="K59" s="13" t="s">
        <v>17</v>
      </c>
      <c r="L59" s="46" t="s">
        <v>711</v>
      </c>
      <c r="M59" s="15">
        <v>46315</v>
      </c>
      <c r="N59" s="14"/>
    </row>
    <row r="60" spans="1:14" ht="27.95" customHeight="1" x14ac:dyDescent="0.15">
      <c r="A60" s="10" t="s">
        <v>289</v>
      </c>
      <c r="B60" s="11" t="s">
        <v>284</v>
      </c>
      <c r="C60" s="16" t="s">
        <v>285</v>
      </c>
      <c r="D60" s="16" t="s">
        <v>286</v>
      </c>
      <c r="E60" s="17" t="s">
        <v>247</v>
      </c>
      <c r="F60" s="16" t="s">
        <v>248</v>
      </c>
      <c r="G60" s="16" t="s">
        <v>98</v>
      </c>
      <c r="H60" s="12" t="s">
        <v>290</v>
      </c>
      <c r="I60" s="12" t="s">
        <v>288</v>
      </c>
      <c r="J60" s="11"/>
      <c r="K60" s="13" t="s">
        <v>17</v>
      </c>
      <c r="L60" s="46" t="s">
        <v>711</v>
      </c>
      <c r="M60" s="15">
        <v>46315</v>
      </c>
      <c r="N60" s="14"/>
    </row>
    <row r="61" spans="1:14" ht="27.95" customHeight="1" x14ac:dyDescent="0.15">
      <c r="A61" s="10" t="s">
        <v>291</v>
      </c>
      <c r="B61" s="11" t="s">
        <v>284</v>
      </c>
      <c r="C61" s="16" t="s">
        <v>285</v>
      </c>
      <c r="D61" s="16" t="s">
        <v>286</v>
      </c>
      <c r="E61" s="17" t="s">
        <v>247</v>
      </c>
      <c r="F61" s="16" t="s">
        <v>248</v>
      </c>
      <c r="G61" s="16" t="s">
        <v>98</v>
      </c>
      <c r="H61" s="12" t="s">
        <v>292</v>
      </c>
      <c r="I61" s="12" t="s">
        <v>293</v>
      </c>
      <c r="J61" s="11"/>
      <c r="K61" s="13" t="s">
        <v>17</v>
      </c>
      <c r="L61" s="46" t="s">
        <v>711</v>
      </c>
      <c r="M61" s="15">
        <v>46315</v>
      </c>
      <c r="N61" s="14"/>
    </row>
    <row r="62" spans="1:14" ht="41.1" customHeight="1" x14ac:dyDescent="0.15">
      <c r="A62" s="18" t="s">
        <v>294</v>
      </c>
      <c r="B62" s="19" t="s">
        <v>295</v>
      </c>
      <c r="C62" s="20" t="s">
        <v>296</v>
      </c>
      <c r="D62" s="20" t="s">
        <v>297</v>
      </c>
      <c r="E62" s="19" t="s">
        <v>247</v>
      </c>
      <c r="F62" s="20" t="s">
        <v>97</v>
      </c>
      <c r="G62" s="20" t="s">
        <v>98</v>
      </c>
      <c r="H62" s="20" t="s">
        <v>298</v>
      </c>
      <c r="I62" s="20" t="s">
        <v>299</v>
      </c>
      <c r="J62" s="19"/>
      <c r="K62" s="13" t="s">
        <v>17</v>
      </c>
      <c r="L62" s="46" t="s">
        <v>711</v>
      </c>
      <c r="M62" s="15">
        <v>46315</v>
      </c>
      <c r="N62" s="14"/>
    </row>
    <row r="63" spans="1:14" ht="27.95" customHeight="1" x14ac:dyDescent="0.15">
      <c r="A63" s="18" t="s">
        <v>300</v>
      </c>
      <c r="B63" s="19" t="s">
        <v>295</v>
      </c>
      <c r="C63" s="21" t="s">
        <v>296</v>
      </c>
      <c r="D63" s="21" t="s">
        <v>297</v>
      </c>
      <c r="E63" s="22" t="s">
        <v>247</v>
      </c>
      <c r="F63" s="21" t="s">
        <v>97</v>
      </c>
      <c r="G63" s="21" t="s">
        <v>98</v>
      </c>
      <c r="H63" s="20" t="s">
        <v>301</v>
      </c>
      <c r="I63" s="20" t="s">
        <v>302</v>
      </c>
      <c r="J63" s="19"/>
      <c r="K63" s="13" t="s">
        <v>17</v>
      </c>
      <c r="L63" s="46" t="s">
        <v>711</v>
      </c>
      <c r="M63" s="15">
        <v>46315</v>
      </c>
      <c r="N63" s="14"/>
    </row>
    <row r="64" spans="1:14" ht="27.95" customHeight="1" x14ac:dyDescent="0.15">
      <c r="A64" s="18" t="s">
        <v>303</v>
      </c>
      <c r="B64" s="19" t="s">
        <v>295</v>
      </c>
      <c r="C64" s="21" t="s">
        <v>296</v>
      </c>
      <c r="D64" s="21" t="s">
        <v>297</v>
      </c>
      <c r="E64" s="22" t="s">
        <v>247</v>
      </c>
      <c r="F64" s="21" t="s">
        <v>97</v>
      </c>
      <c r="G64" s="21" t="s">
        <v>98</v>
      </c>
      <c r="H64" s="20" t="s">
        <v>304</v>
      </c>
      <c r="I64" s="20" t="s">
        <v>305</v>
      </c>
      <c r="J64" s="19"/>
      <c r="K64" s="13" t="s">
        <v>17</v>
      </c>
      <c r="L64" s="46" t="s">
        <v>711</v>
      </c>
      <c r="M64" s="15">
        <v>46315</v>
      </c>
      <c r="N64" s="14"/>
    </row>
    <row r="65" spans="1:14" ht="27.95" customHeight="1" x14ac:dyDescent="0.15">
      <c r="A65" s="18" t="s">
        <v>306</v>
      </c>
      <c r="B65" s="19" t="s">
        <v>295</v>
      </c>
      <c r="C65" s="21" t="s">
        <v>296</v>
      </c>
      <c r="D65" s="21" t="s">
        <v>297</v>
      </c>
      <c r="E65" s="22" t="s">
        <v>247</v>
      </c>
      <c r="F65" s="21" t="s">
        <v>97</v>
      </c>
      <c r="G65" s="21" t="s">
        <v>98</v>
      </c>
      <c r="H65" s="20" t="s">
        <v>307</v>
      </c>
      <c r="I65" s="20" t="s">
        <v>308</v>
      </c>
      <c r="J65" s="19"/>
      <c r="K65" s="13" t="s">
        <v>17</v>
      </c>
      <c r="L65" s="46" t="s">
        <v>711</v>
      </c>
      <c r="M65" s="15">
        <v>46315</v>
      </c>
      <c r="N65" s="14"/>
    </row>
    <row r="66" spans="1:14" ht="27.95" customHeight="1" x14ac:dyDescent="0.15">
      <c r="A66" s="18" t="s">
        <v>309</v>
      </c>
      <c r="B66" s="19" t="s">
        <v>295</v>
      </c>
      <c r="C66" s="21" t="s">
        <v>296</v>
      </c>
      <c r="D66" s="21" t="s">
        <v>297</v>
      </c>
      <c r="E66" s="22" t="s">
        <v>247</v>
      </c>
      <c r="F66" s="21" t="s">
        <v>97</v>
      </c>
      <c r="G66" s="21" t="s">
        <v>98</v>
      </c>
      <c r="H66" s="20" t="s">
        <v>310</v>
      </c>
      <c r="I66" s="20" t="s">
        <v>311</v>
      </c>
      <c r="J66" s="19"/>
      <c r="K66" s="13" t="s">
        <v>17</v>
      </c>
      <c r="L66" s="46" t="s">
        <v>711</v>
      </c>
      <c r="M66" s="15">
        <v>46315</v>
      </c>
      <c r="N66" s="14"/>
    </row>
    <row r="67" spans="1:14" ht="41.1" customHeight="1" x14ac:dyDescent="0.15">
      <c r="A67" s="10" t="s">
        <v>312</v>
      </c>
      <c r="B67" s="11" t="s">
        <v>313</v>
      </c>
      <c r="C67" s="12" t="s">
        <v>314</v>
      </c>
      <c r="D67" s="12" t="s">
        <v>315</v>
      </c>
      <c r="E67" s="11" t="s">
        <v>247</v>
      </c>
      <c r="F67" s="12" t="s">
        <v>316</v>
      </c>
      <c r="G67" s="12" t="s">
        <v>98</v>
      </c>
      <c r="H67" s="12" t="s">
        <v>317</v>
      </c>
      <c r="I67" s="12" t="s">
        <v>318</v>
      </c>
      <c r="J67" s="11"/>
      <c r="K67" s="13" t="s">
        <v>17</v>
      </c>
      <c r="L67" s="46" t="s">
        <v>711</v>
      </c>
      <c r="M67" s="15">
        <v>46315</v>
      </c>
      <c r="N67" s="14"/>
    </row>
    <row r="68" spans="1:14" ht="27.95" customHeight="1" x14ac:dyDescent="0.15">
      <c r="A68" s="10" t="s">
        <v>319</v>
      </c>
      <c r="B68" s="11" t="s">
        <v>313</v>
      </c>
      <c r="C68" s="16" t="s">
        <v>314</v>
      </c>
      <c r="D68" s="16" t="s">
        <v>315</v>
      </c>
      <c r="E68" s="17" t="s">
        <v>247</v>
      </c>
      <c r="F68" s="16" t="s">
        <v>316</v>
      </c>
      <c r="G68" s="16" t="s">
        <v>98</v>
      </c>
      <c r="H68" s="12" t="s">
        <v>320</v>
      </c>
      <c r="I68" s="12" t="s">
        <v>321</v>
      </c>
      <c r="J68" s="11"/>
      <c r="K68" s="13" t="s">
        <v>17</v>
      </c>
      <c r="L68" s="46" t="s">
        <v>711</v>
      </c>
      <c r="M68" s="15">
        <v>46315</v>
      </c>
      <c r="N68" s="14"/>
    </row>
    <row r="69" spans="1:14" ht="27.95" customHeight="1" x14ac:dyDescent="0.15">
      <c r="A69" s="10" t="s">
        <v>322</v>
      </c>
      <c r="B69" s="11" t="s">
        <v>313</v>
      </c>
      <c r="C69" s="16" t="s">
        <v>314</v>
      </c>
      <c r="D69" s="16" t="s">
        <v>315</v>
      </c>
      <c r="E69" s="17" t="s">
        <v>247</v>
      </c>
      <c r="F69" s="16" t="s">
        <v>316</v>
      </c>
      <c r="G69" s="16" t="s">
        <v>98</v>
      </c>
      <c r="H69" s="12" t="s">
        <v>323</v>
      </c>
      <c r="I69" s="12" t="s">
        <v>324</v>
      </c>
      <c r="J69" s="11"/>
      <c r="K69" s="13" t="s">
        <v>17</v>
      </c>
      <c r="L69" s="46" t="s">
        <v>711</v>
      </c>
      <c r="M69" s="15">
        <v>46315</v>
      </c>
      <c r="N69" s="14"/>
    </row>
    <row r="70" spans="1:14" ht="27.95" customHeight="1" x14ac:dyDescent="0.15">
      <c r="A70" s="10" t="s">
        <v>325</v>
      </c>
      <c r="B70" s="11" t="s">
        <v>313</v>
      </c>
      <c r="C70" s="16" t="s">
        <v>314</v>
      </c>
      <c r="D70" s="16" t="s">
        <v>315</v>
      </c>
      <c r="E70" s="17" t="s">
        <v>247</v>
      </c>
      <c r="F70" s="16" t="s">
        <v>316</v>
      </c>
      <c r="G70" s="16" t="s">
        <v>98</v>
      </c>
      <c r="H70" s="12" t="s">
        <v>326</v>
      </c>
      <c r="I70" s="12" t="s">
        <v>327</v>
      </c>
      <c r="J70" s="11"/>
      <c r="K70" s="13" t="s">
        <v>17</v>
      </c>
      <c r="L70" s="46" t="s">
        <v>711</v>
      </c>
      <c r="M70" s="15">
        <v>46315</v>
      </c>
      <c r="N70" s="14"/>
    </row>
    <row r="71" spans="1:14" ht="27.95" customHeight="1" x14ac:dyDescent="0.15">
      <c r="A71" s="10" t="s">
        <v>328</v>
      </c>
      <c r="B71" s="11" t="s">
        <v>313</v>
      </c>
      <c r="C71" s="16" t="s">
        <v>314</v>
      </c>
      <c r="D71" s="16" t="s">
        <v>315</v>
      </c>
      <c r="E71" s="17" t="s">
        <v>247</v>
      </c>
      <c r="F71" s="16" t="s">
        <v>316</v>
      </c>
      <c r="G71" s="16" t="s">
        <v>98</v>
      </c>
      <c r="H71" s="12" t="s">
        <v>329</v>
      </c>
      <c r="I71" s="12" t="s">
        <v>330</v>
      </c>
      <c r="J71" s="11"/>
      <c r="K71" s="13" t="s">
        <v>17</v>
      </c>
      <c r="L71" s="46" t="s">
        <v>711</v>
      </c>
      <c r="M71" s="15">
        <v>46315</v>
      </c>
      <c r="N71" s="14"/>
    </row>
    <row r="72" spans="1:14" ht="66.95" customHeight="1" x14ac:dyDescent="0.15">
      <c r="A72" s="18" t="s">
        <v>331</v>
      </c>
      <c r="B72" s="19" t="s">
        <v>332</v>
      </c>
      <c r="C72" s="20" t="s">
        <v>333</v>
      </c>
      <c r="D72" s="20" t="s">
        <v>334</v>
      </c>
      <c r="E72" s="19" t="s">
        <v>247</v>
      </c>
      <c r="F72" s="20" t="s">
        <v>97</v>
      </c>
      <c r="G72" s="20" t="s">
        <v>98</v>
      </c>
      <c r="H72" s="20" t="s">
        <v>335</v>
      </c>
      <c r="I72" s="20" t="s">
        <v>336</v>
      </c>
      <c r="J72" s="19"/>
      <c r="K72" s="13" t="s">
        <v>17</v>
      </c>
      <c r="L72" s="46" t="s">
        <v>711</v>
      </c>
      <c r="M72" s="15">
        <v>46315</v>
      </c>
      <c r="N72" s="14"/>
    </row>
    <row r="73" spans="1:14" ht="54" customHeight="1" x14ac:dyDescent="0.15">
      <c r="A73" s="18" t="s">
        <v>337</v>
      </c>
      <c r="B73" s="19" t="s">
        <v>332</v>
      </c>
      <c r="C73" s="21" t="s">
        <v>333</v>
      </c>
      <c r="D73" s="21" t="s">
        <v>334</v>
      </c>
      <c r="E73" s="22" t="s">
        <v>247</v>
      </c>
      <c r="F73" s="21" t="s">
        <v>97</v>
      </c>
      <c r="G73" s="21" t="s">
        <v>98</v>
      </c>
      <c r="H73" s="20" t="s">
        <v>338</v>
      </c>
      <c r="I73" s="20" t="s">
        <v>339</v>
      </c>
      <c r="J73" s="19"/>
      <c r="K73" s="13" t="s">
        <v>17</v>
      </c>
      <c r="L73" s="46" t="s">
        <v>711</v>
      </c>
      <c r="M73" s="15">
        <v>46315</v>
      </c>
      <c r="N73" s="14"/>
    </row>
    <row r="74" spans="1:14" ht="27.95" customHeight="1" x14ac:dyDescent="0.15">
      <c r="A74" s="18" t="s">
        <v>340</v>
      </c>
      <c r="B74" s="19" t="s">
        <v>332</v>
      </c>
      <c r="C74" s="21" t="s">
        <v>333</v>
      </c>
      <c r="D74" s="21" t="s">
        <v>334</v>
      </c>
      <c r="E74" s="22" t="s">
        <v>247</v>
      </c>
      <c r="F74" s="21" t="s">
        <v>97</v>
      </c>
      <c r="G74" s="21" t="s">
        <v>98</v>
      </c>
      <c r="H74" s="20" t="s">
        <v>341</v>
      </c>
      <c r="I74" s="20" t="s">
        <v>342</v>
      </c>
      <c r="J74" s="19"/>
      <c r="K74" s="13" t="s">
        <v>17</v>
      </c>
      <c r="L74" s="46" t="s">
        <v>711</v>
      </c>
      <c r="M74" s="15">
        <v>46315</v>
      </c>
      <c r="N74" s="14"/>
    </row>
    <row r="75" spans="1:14" ht="27.95" customHeight="1" x14ac:dyDescent="0.15">
      <c r="A75" s="18" t="s">
        <v>343</v>
      </c>
      <c r="B75" s="19" t="s">
        <v>332</v>
      </c>
      <c r="C75" s="21" t="s">
        <v>333</v>
      </c>
      <c r="D75" s="21" t="s">
        <v>334</v>
      </c>
      <c r="E75" s="22" t="s">
        <v>247</v>
      </c>
      <c r="F75" s="21" t="s">
        <v>97</v>
      </c>
      <c r="G75" s="21" t="s">
        <v>98</v>
      </c>
      <c r="H75" s="20" t="s">
        <v>344</v>
      </c>
      <c r="I75" s="20" t="s">
        <v>345</v>
      </c>
      <c r="J75" s="19"/>
      <c r="K75" s="13" t="s">
        <v>17</v>
      </c>
      <c r="L75" s="46" t="s">
        <v>711</v>
      </c>
      <c r="M75" s="15">
        <v>46315</v>
      </c>
      <c r="N75" s="14"/>
    </row>
    <row r="76" spans="1:14" ht="27.95" customHeight="1" x14ac:dyDescent="0.15">
      <c r="A76" s="18" t="s">
        <v>346</v>
      </c>
      <c r="B76" s="19" t="s">
        <v>332</v>
      </c>
      <c r="C76" s="21" t="s">
        <v>333</v>
      </c>
      <c r="D76" s="21" t="s">
        <v>334</v>
      </c>
      <c r="E76" s="22" t="s">
        <v>247</v>
      </c>
      <c r="F76" s="21" t="s">
        <v>97</v>
      </c>
      <c r="G76" s="21" t="s">
        <v>98</v>
      </c>
      <c r="H76" s="20" t="s">
        <v>347</v>
      </c>
      <c r="I76" s="20" t="s">
        <v>348</v>
      </c>
      <c r="J76" s="19"/>
      <c r="K76" s="13" t="s">
        <v>17</v>
      </c>
      <c r="L76" s="46" t="s">
        <v>711</v>
      </c>
      <c r="M76" s="15">
        <v>46315</v>
      </c>
      <c r="N76" s="14"/>
    </row>
    <row r="77" spans="1:14" ht="41.1" customHeight="1" x14ac:dyDescent="0.15">
      <c r="A77" s="10" t="s">
        <v>349</v>
      </c>
      <c r="B77" s="11" t="s">
        <v>350</v>
      </c>
      <c r="C77" s="12" t="s">
        <v>351</v>
      </c>
      <c r="D77" s="12" t="s">
        <v>352</v>
      </c>
      <c r="E77" s="11" t="s">
        <v>247</v>
      </c>
      <c r="F77" s="12" t="s">
        <v>97</v>
      </c>
      <c r="G77" s="12" t="s">
        <v>98</v>
      </c>
      <c r="H77" s="12" t="s">
        <v>353</v>
      </c>
      <c r="I77" s="12" t="s">
        <v>354</v>
      </c>
      <c r="J77" s="11"/>
      <c r="K77" s="13" t="s">
        <v>17</v>
      </c>
      <c r="L77" s="46" t="s">
        <v>711</v>
      </c>
      <c r="M77" s="15">
        <v>46315</v>
      </c>
      <c r="N77" s="14"/>
    </row>
    <row r="78" spans="1:14" ht="27.95" customHeight="1" x14ac:dyDescent="0.15">
      <c r="A78" s="10" t="s">
        <v>355</v>
      </c>
      <c r="B78" s="11" t="s">
        <v>350</v>
      </c>
      <c r="C78" s="16" t="s">
        <v>351</v>
      </c>
      <c r="D78" s="16" t="s">
        <v>352</v>
      </c>
      <c r="E78" s="17" t="s">
        <v>247</v>
      </c>
      <c r="F78" s="16" t="s">
        <v>97</v>
      </c>
      <c r="G78" s="16" t="s">
        <v>98</v>
      </c>
      <c r="H78" s="12" t="s">
        <v>356</v>
      </c>
      <c r="I78" s="12" t="s">
        <v>357</v>
      </c>
      <c r="J78" s="11"/>
      <c r="K78" s="13" t="s">
        <v>17</v>
      </c>
      <c r="L78" s="46" t="s">
        <v>711</v>
      </c>
      <c r="M78" s="15">
        <v>46315</v>
      </c>
      <c r="N78" s="14"/>
    </row>
    <row r="79" spans="1:14" ht="27.95" customHeight="1" x14ac:dyDescent="0.15">
      <c r="A79" s="10" t="s">
        <v>358</v>
      </c>
      <c r="B79" s="11" t="s">
        <v>350</v>
      </c>
      <c r="C79" s="16" t="s">
        <v>351</v>
      </c>
      <c r="D79" s="16" t="s">
        <v>352</v>
      </c>
      <c r="E79" s="17" t="s">
        <v>247</v>
      </c>
      <c r="F79" s="16" t="s">
        <v>97</v>
      </c>
      <c r="G79" s="16" t="s">
        <v>98</v>
      </c>
      <c r="H79" s="12" t="s">
        <v>359</v>
      </c>
      <c r="I79" s="12" t="s">
        <v>360</v>
      </c>
      <c r="J79" s="11"/>
      <c r="K79" s="13" t="s">
        <v>17</v>
      </c>
      <c r="L79" s="46" t="s">
        <v>711</v>
      </c>
      <c r="M79" s="15">
        <v>46315</v>
      </c>
      <c r="N79" s="14"/>
    </row>
    <row r="80" spans="1:14" ht="20.100000000000001" customHeight="1" x14ac:dyDescent="0.15">
      <c r="A80" s="36" t="s">
        <v>361</v>
      </c>
      <c r="B80" s="34"/>
      <c r="C80" s="34"/>
      <c r="D80" s="34"/>
      <c r="E80" s="34"/>
      <c r="F80" s="34"/>
      <c r="G80" s="34"/>
      <c r="H80" s="34"/>
      <c r="I80" s="34"/>
      <c r="J80" s="34"/>
      <c r="K80" s="34"/>
      <c r="L80" s="34"/>
      <c r="M80" s="34"/>
      <c r="N80" s="34"/>
    </row>
    <row r="81" spans="1:14" ht="129.94999999999999" customHeight="1" x14ac:dyDescent="0.15">
      <c r="A81" s="18" t="s">
        <v>362</v>
      </c>
      <c r="B81" s="19" t="s">
        <v>363</v>
      </c>
      <c r="C81" s="20" t="s">
        <v>364</v>
      </c>
      <c r="D81" s="20" t="s">
        <v>365</v>
      </c>
      <c r="E81" s="19" t="s">
        <v>96</v>
      </c>
      <c r="F81" s="20" t="s">
        <v>240</v>
      </c>
      <c r="G81" s="20" t="s">
        <v>366</v>
      </c>
      <c r="H81" s="20" t="s">
        <v>367</v>
      </c>
      <c r="I81" s="20" t="s">
        <v>368</v>
      </c>
      <c r="J81" s="19"/>
      <c r="K81" s="13" t="s">
        <v>17</v>
      </c>
      <c r="L81" s="46" t="s">
        <v>711</v>
      </c>
      <c r="M81" s="15">
        <v>46315</v>
      </c>
      <c r="N81" s="14"/>
    </row>
    <row r="82" spans="1:14" ht="15.95" customHeight="1" x14ac:dyDescent="0.15">
      <c r="A82" s="18" t="s">
        <v>369</v>
      </c>
      <c r="B82" s="19" t="s">
        <v>363</v>
      </c>
      <c r="C82" s="21" t="s">
        <v>364</v>
      </c>
      <c r="D82" s="21" t="s">
        <v>365</v>
      </c>
      <c r="E82" s="22" t="s">
        <v>96</v>
      </c>
      <c r="F82" s="21" t="s">
        <v>240</v>
      </c>
      <c r="G82" s="21" t="s">
        <v>366</v>
      </c>
      <c r="H82" s="20"/>
      <c r="I82" s="20" t="s">
        <v>370</v>
      </c>
      <c r="J82" s="19"/>
      <c r="K82" s="13" t="s">
        <v>17</v>
      </c>
      <c r="L82" s="46" t="s">
        <v>711</v>
      </c>
      <c r="M82" s="15">
        <v>46315</v>
      </c>
      <c r="N82" s="14"/>
    </row>
    <row r="83" spans="1:14" ht="41.1" customHeight="1" x14ac:dyDescent="0.15">
      <c r="A83" s="18" t="s">
        <v>371</v>
      </c>
      <c r="B83" s="19" t="s">
        <v>363</v>
      </c>
      <c r="C83" s="21" t="s">
        <v>364</v>
      </c>
      <c r="D83" s="21" t="s">
        <v>365</v>
      </c>
      <c r="E83" s="22" t="s">
        <v>96</v>
      </c>
      <c r="F83" s="21" t="s">
        <v>240</v>
      </c>
      <c r="G83" s="21" t="s">
        <v>366</v>
      </c>
      <c r="H83" s="20"/>
      <c r="I83" s="20" t="s">
        <v>372</v>
      </c>
      <c r="J83" s="19"/>
      <c r="K83" s="13" t="s">
        <v>17</v>
      </c>
      <c r="L83" s="46" t="s">
        <v>711</v>
      </c>
      <c r="M83" s="15">
        <v>46315</v>
      </c>
      <c r="N83" s="14"/>
    </row>
    <row r="84" spans="1:14" ht="27.95" customHeight="1" x14ac:dyDescent="0.15">
      <c r="A84" s="18" t="s">
        <v>373</v>
      </c>
      <c r="B84" s="19" t="s">
        <v>363</v>
      </c>
      <c r="C84" s="21" t="s">
        <v>364</v>
      </c>
      <c r="D84" s="21" t="s">
        <v>365</v>
      </c>
      <c r="E84" s="22" t="s">
        <v>96</v>
      </c>
      <c r="F84" s="21" t="s">
        <v>240</v>
      </c>
      <c r="G84" s="21" t="s">
        <v>366</v>
      </c>
      <c r="H84" s="20" t="s">
        <v>374</v>
      </c>
      <c r="I84" s="20" t="s">
        <v>375</v>
      </c>
      <c r="J84" s="19" t="s">
        <v>376</v>
      </c>
      <c r="K84" s="13" t="s">
        <v>17</v>
      </c>
      <c r="L84" s="46" t="s">
        <v>711</v>
      </c>
      <c r="M84" s="15">
        <v>46315</v>
      </c>
      <c r="N84" s="14"/>
    </row>
    <row r="85" spans="1:14" ht="27.95" customHeight="1" x14ac:dyDescent="0.15">
      <c r="A85" s="10" t="s">
        <v>377</v>
      </c>
      <c r="B85" s="11" t="s">
        <v>378</v>
      </c>
      <c r="C85" s="12" t="s">
        <v>379</v>
      </c>
      <c r="D85" s="12" t="s">
        <v>380</v>
      </c>
      <c r="E85" s="11" t="s">
        <v>96</v>
      </c>
      <c r="F85" s="12" t="s">
        <v>97</v>
      </c>
      <c r="G85" s="12" t="s">
        <v>381</v>
      </c>
      <c r="H85" s="12" t="s">
        <v>382</v>
      </c>
      <c r="I85" s="12" t="s">
        <v>383</v>
      </c>
      <c r="J85" s="11"/>
      <c r="K85" s="13" t="s">
        <v>17</v>
      </c>
      <c r="L85" s="46" t="s">
        <v>711</v>
      </c>
      <c r="M85" s="15">
        <v>46315</v>
      </c>
      <c r="N85" s="14"/>
    </row>
    <row r="86" spans="1:14" ht="27.95" customHeight="1" x14ac:dyDescent="0.15">
      <c r="A86" s="10" t="s">
        <v>384</v>
      </c>
      <c r="B86" s="11" t="s">
        <v>378</v>
      </c>
      <c r="C86" s="16" t="s">
        <v>379</v>
      </c>
      <c r="D86" s="16" t="s">
        <v>380</v>
      </c>
      <c r="E86" s="17" t="s">
        <v>96</v>
      </c>
      <c r="F86" s="16" t="s">
        <v>97</v>
      </c>
      <c r="G86" s="16" t="s">
        <v>381</v>
      </c>
      <c r="H86" s="12"/>
      <c r="I86" s="12" t="s">
        <v>385</v>
      </c>
      <c r="J86" s="11"/>
      <c r="K86" s="13" t="s">
        <v>17</v>
      </c>
      <c r="L86" s="46" t="s">
        <v>711</v>
      </c>
      <c r="M86" s="15">
        <v>46315</v>
      </c>
      <c r="N86" s="14"/>
    </row>
    <row r="87" spans="1:14" ht="117.95" customHeight="1" x14ac:dyDescent="0.15">
      <c r="A87" s="18" t="s">
        <v>386</v>
      </c>
      <c r="B87" s="19" t="s">
        <v>387</v>
      </c>
      <c r="C87" s="20" t="s">
        <v>388</v>
      </c>
      <c r="D87" s="20" t="s">
        <v>389</v>
      </c>
      <c r="E87" s="19" t="s">
        <v>96</v>
      </c>
      <c r="F87" s="20" t="s">
        <v>97</v>
      </c>
      <c r="G87" s="20" t="s">
        <v>390</v>
      </c>
      <c r="H87" s="20" t="s">
        <v>391</v>
      </c>
      <c r="I87" s="20" t="s">
        <v>392</v>
      </c>
      <c r="J87" s="19"/>
      <c r="K87" s="13" t="s">
        <v>17</v>
      </c>
      <c r="L87" s="46" t="s">
        <v>711</v>
      </c>
      <c r="M87" s="15">
        <v>46315</v>
      </c>
      <c r="N87" s="14"/>
    </row>
    <row r="88" spans="1:14" ht="27.95" customHeight="1" x14ac:dyDescent="0.15">
      <c r="A88" s="18" t="s">
        <v>393</v>
      </c>
      <c r="B88" s="19" t="s">
        <v>387</v>
      </c>
      <c r="C88" s="21" t="s">
        <v>388</v>
      </c>
      <c r="D88" s="21" t="s">
        <v>389</v>
      </c>
      <c r="E88" s="22" t="s">
        <v>96</v>
      </c>
      <c r="F88" s="21" t="s">
        <v>97</v>
      </c>
      <c r="G88" s="21" t="s">
        <v>390</v>
      </c>
      <c r="H88" s="20"/>
      <c r="I88" s="20" t="s">
        <v>394</v>
      </c>
      <c r="J88" s="19"/>
      <c r="K88" s="13" t="s">
        <v>17</v>
      </c>
      <c r="L88" s="46" t="s">
        <v>711</v>
      </c>
      <c r="M88" s="15">
        <v>46315</v>
      </c>
      <c r="N88" s="14"/>
    </row>
    <row r="89" spans="1:14" ht="27.95" customHeight="1" x14ac:dyDescent="0.15">
      <c r="A89" s="18" t="s">
        <v>395</v>
      </c>
      <c r="B89" s="19" t="s">
        <v>387</v>
      </c>
      <c r="C89" s="21" t="s">
        <v>388</v>
      </c>
      <c r="D89" s="21" t="s">
        <v>389</v>
      </c>
      <c r="E89" s="22" t="s">
        <v>96</v>
      </c>
      <c r="F89" s="21" t="s">
        <v>97</v>
      </c>
      <c r="G89" s="21" t="s">
        <v>390</v>
      </c>
      <c r="H89" s="20"/>
      <c r="I89" s="20" t="s">
        <v>396</v>
      </c>
      <c r="J89" s="19" t="s">
        <v>376</v>
      </c>
      <c r="K89" s="13" t="s">
        <v>17</v>
      </c>
      <c r="L89" s="46" t="s">
        <v>711</v>
      </c>
      <c r="M89" s="15">
        <v>46315</v>
      </c>
      <c r="N89" s="14"/>
    </row>
    <row r="90" spans="1:14" ht="27.95" customHeight="1" x14ac:dyDescent="0.15">
      <c r="A90" s="18" t="s">
        <v>397</v>
      </c>
      <c r="B90" s="19" t="s">
        <v>387</v>
      </c>
      <c r="C90" s="21" t="s">
        <v>388</v>
      </c>
      <c r="D90" s="21" t="s">
        <v>389</v>
      </c>
      <c r="E90" s="22" t="s">
        <v>96</v>
      </c>
      <c r="F90" s="21" t="s">
        <v>97</v>
      </c>
      <c r="G90" s="21" t="s">
        <v>390</v>
      </c>
      <c r="H90" s="20"/>
      <c r="I90" s="20" t="s">
        <v>398</v>
      </c>
      <c r="J90" s="19"/>
      <c r="K90" s="13" t="s">
        <v>17</v>
      </c>
      <c r="L90" s="46" t="s">
        <v>711</v>
      </c>
      <c r="M90" s="15">
        <v>46315</v>
      </c>
      <c r="N90" s="14"/>
    </row>
    <row r="91" spans="1:14" ht="27.95" customHeight="1" x14ac:dyDescent="0.15">
      <c r="A91" s="18" t="s">
        <v>399</v>
      </c>
      <c r="B91" s="19" t="s">
        <v>387</v>
      </c>
      <c r="C91" s="21" t="s">
        <v>388</v>
      </c>
      <c r="D91" s="21" t="s">
        <v>389</v>
      </c>
      <c r="E91" s="22" t="s">
        <v>96</v>
      </c>
      <c r="F91" s="21" t="s">
        <v>97</v>
      </c>
      <c r="G91" s="21" t="s">
        <v>390</v>
      </c>
      <c r="H91" s="20"/>
      <c r="I91" s="20" t="s">
        <v>400</v>
      </c>
      <c r="J91" s="19"/>
      <c r="K91" s="13" t="s">
        <v>17</v>
      </c>
      <c r="L91" s="46" t="s">
        <v>711</v>
      </c>
      <c r="M91" s="15">
        <v>46315</v>
      </c>
      <c r="N91" s="14"/>
    </row>
    <row r="92" spans="1:14" ht="54" customHeight="1" x14ac:dyDescent="0.15">
      <c r="A92" s="10" t="s">
        <v>401</v>
      </c>
      <c r="B92" s="11" t="s">
        <v>402</v>
      </c>
      <c r="C92" s="12" t="s">
        <v>403</v>
      </c>
      <c r="D92" s="12" t="s">
        <v>404</v>
      </c>
      <c r="E92" s="11" t="s">
        <v>247</v>
      </c>
      <c r="F92" s="12" t="s">
        <v>97</v>
      </c>
      <c r="G92" s="12" t="s">
        <v>405</v>
      </c>
      <c r="H92" s="12" t="s">
        <v>406</v>
      </c>
      <c r="I92" s="12" t="s">
        <v>407</v>
      </c>
      <c r="J92" s="11"/>
      <c r="K92" s="13" t="s">
        <v>17</v>
      </c>
      <c r="L92" s="46" t="s">
        <v>711</v>
      </c>
      <c r="M92" s="15">
        <v>46315</v>
      </c>
      <c r="N92" s="14"/>
    </row>
    <row r="93" spans="1:14" ht="41.1" customHeight="1" x14ac:dyDescent="0.15">
      <c r="A93" s="10" t="s">
        <v>408</v>
      </c>
      <c r="B93" s="11" t="s">
        <v>402</v>
      </c>
      <c r="C93" s="16" t="s">
        <v>403</v>
      </c>
      <c r="D93" s="16" t="s">
        <v>404</v>
      </c>
      <c r="E93" s="17" t="s">
        <v>247</v>
      </c>
      <c r="F93" s="16" t="s">
        <v>97</v>
      </c>
      <c r="G93" s="16" t="s">
        <v>405</v>
      </c>
      <c r="H93" s="12" t="s">
        <v>409</v>
      </c>
      <c r="I93" s="12" t="s">
        <v>410</v>
      </c>
      <c r="J93" s="11"/>
      <c r="K93" s="13" t="s">
        <v>17</v>
      </c>
      <c r="L93" s="46" t="s">
        <v>711</v>
      </c>
      <c r="M93" s="15">
        <v>46315</v>
      </c>
      <c r="N93" s="14"/>
    </row>
    <row r="94" spans="1:14" ht="41.1" customHeight="1" x14ac:dyDescent="0.15">
      <c r="A94" s="10" t="s">
        <v>411</v>
      </c>
      <c r="B94" s="11" t="s">
        <v>402</v>
      </c>
      <c r="C94" s="16" t="s">
        <v>403</v>
      </c>
      <c r="D94" s="16" t="s">
        <v>404</v>
      </c>
      <c r="E94" s="17" t="s">
        <v>247</v>
      </c>
      <c r="F94" s="16" t="s">
        <v>97</v>
      </c>
      <c r="G94" s="16" t="s">
        <v>405</v>
      </c>
      <c r="H94" s="12" t="s">
        <v>412</v>
      </c>
      <c r="I94" s="12" t="s">
        <v>413</v>
      </c>
      <c r="J94" s="11"/>
      <c r="K94" s="13" t="s">
        <v>17</v>
      </c>
      <c r="L94" s="46" t="s">
        <v>711</v>
      </c>
      <c r="M94" s="15">
        <v>46315</v>
      </c>
      <c r="N94" s="14"/>
    </row>
    <row r="95" spans="1:14" ht="27.95" customHeight="1" x14ac:dyDescent="0.15">
      <c r="A95" s="10" t="s">
        <v>414</v>
      </c>
      <c r="B95" s="11" t="s">
        <v>402</v>
      </c>
      <c r="C95" s="16" t="s">
        <v>403</v>
      </c>
      <c r="D95" s="16" t="s">
        <v>404</v>
      </c>
      <c r="E95" s="17" t="s">
        <v>247</v>
      </c>
      <c r="F95" s="16" t="s">
        <v>97</v>
      </c>
      <c r="G95" s="16" t="s">
        <v>405</v>
      </c>
      <c r="H95" s="12" t="s">
        <v>415</v>
      </c>
      <c r="I95" s="12" t="s">
        <v>416</v>
      </c>
      <c r="J95" s="11" t="s">
        <v>376</v>
      </c>
      <c r="K95" s="13" t="s">
        <v>17</v>
      </c>
      <c r="L95" s="46" t="s">
        <v>711</v>
      </c>
      <c r="M95" s="15">
        <v>46315</v>
      </c>
      <c r="N95" s="14"/>
    </row>
    <row r="96" spans="1:14" ht="41.1" customHeight="1" x14ac:dyDescent="0.15">
      <c r="A96" s="10" t="s">
        <v>417</v>
      </c>
      <c r="B96" s="11" t="s">
        <v>402</v>
      </c>
      <c r="C96" s="16" t="s">
        <v>403</v>
      </c>
      <c r="D96" s="16" t="s">
        <v>404</v>
      </c>
      <c r="E96" s="17" t="s">
        <v>247</v>
      </c>
      <c r="F96" s="16" t="s">
        <v>97</v>
      </c>
      <c r="G96" s="16" t="s">
        <v>405</v>
      </c>
      <c r="H96" s="12" t="s">
        <v>418</v>
      </c>
      <c r="I96" s="12" t="s">
        <v>419</v>
      </c>
      <c r="J96" s="11"/>
      <c r="K96" s="13" t="s">
        <v>17</v>
      </c>
      <c r="L96" s="46" t="s">
        <v>711</v>
      </c>
      <c r="M96" s="15">
        <v>46315</v>
      </c>
      <c r="N96" s="14"/>
    </row>
    <row r="97" spans="1:14" ht="15.95" customHeight="1" x14ac:dyDescent="0.15">
      <c r="A97" s="10" t="s">
        <v>420</v>
      </c>
      <c r="B97" s="11" t="s">
        <v>402</v>
      </c>
      <c r="C97" s="16" t="s">
        <v>403</v>
      </c>
      <c r="D97" s="16" t="s">
        <v>404</v>
      </c>
      <c r="E97" s="17" t="s">
        <v>247</v>
      </c>
      <c r="F97" s="16" t="s">
        <v>97</v>
      </c>
      <c r="G97" s="16" t="s">
        <v>405</v>
      </c>
      <c r="H97" s="12" t="s">
        <v>421</v>
      </c>
      <c r="I97" s="12" t="s">
        <v>422</v>
      </c>
      <c r="J97" s="11"/>
      <c r="K97" s="13" t="s">
        <v>17</v>
      </c>
      <c r="L97" s="46" t="s">
        <v>711</v>
      </c>
      <c r="M97" s="15">
        <v>46315</v>
      </c>
      <c r="N97" s="14"/>
    </row>
    <row r="98" spans="1:14" ht="117.95" customHeight="1" x14ac:dyDescent="0.15">
      <c r="A98" s="18" t="s">
        <v>423</v>
      </c>
      <c r="B98" s="19" t="s">
        <v>424</v>
      </c>
      <c r="C98" s="20" t="s">
        <v>425</v>
      </c>
      <c r="D98" s="20" t="s">
        <v>426</v>
      </c>
      <c r="E98" s="19" t="s">
        <v>247</v>
      </c>
      <c r="F98" s="20" t="s">
        <v>128</v>
      </c>
      <c r="G98" s="20" t="s">
        <v>427</v>
      </c>
      <c r="H98" s="20" t="s">
        <v>428</v>
      </c>
      <c r="I98" s="20" t="s">
        <v>429</v>
      </c>
      <c r="J98" s="19"/>
      <c r="K98" s="13" t="s">
        <v>17</v>
      </c>
      <c r="L98" s="46" t="s">
        <v>711</v>
      </c>
      <c r="M98" s="15">
        <v>46315</v>
      </c>
      <c r="N98" s="14"/>
    </row>
    <row r="99" spans="1:14" ht="27.95" customHeight="1" x14ac:dyDescent="0.15">
      <c r="A99" s="18" t="s">
        <v>430</v>
      </c>
      <c r="B99" s="19" t="s">
        <v>424</v>
      </c>
      <c r="C99" s="21" t="s">
        <v>425</v>
      </c>
      <c r="D99" s="21" t="s">
        <v>426</v>
      </c>
      <c r="E99" s="22" t="s">
        <v>247</v>
      </c>
      <c r="F99" s="21" t="s">
        <v>128</v>
      </c>
      <c r="G99" s="21" t="s">
        <v>427</v>
      </c>
      <c r="H99" s="20"/>
      <c r="I99" s="20" t="s">
        <v>431</v>
      </c>
      <c r="J99" s="19"/>
      <c r="K99" s="13" t="s">
        <v>17</v>
      </c>
      <c r="L99" s="46" t="s">
        <v>711</v>
      </c>
      <c r="M99" s="15">
        <v>46315</v>
      </c>
      <c r="N99" s="14"/>
    </row>
    <row r="100" spans="1:14" ht="54" customHeight="1" x14ac:dyDescent="0.15">
      <c r="A100" s="10" t="s">
        <v>432</v>
      </c>
      <c r="B100" s="11" t="s">
        <v>433</v>
      </c>
      <c r="C100" s="12" t="s">
        <v>434</v>
      </c>
      <c r="D100" s="12" t="s">
        <v>435</v>
      </c>
      <c r="E100" s="11" t="s">
        <v>247</v>
      </c>
      <c r="F100" s="12" t="s">
        <v>436</v>
      </c>
      <c r="G100" s="12" t="s">
        <v>437</v>
      </c>
      <c r="H100" s="12" t="s">
        <v>438</v>
      </c>
      <c r="I100" s="12" t="s">
        <v>439</v>
      </c>
      <c r="J100" s="11"/>
      <c r="K100" s="13" t="s">
        <v>17</v>
      </c>
      <c r="L100" s="46" t="s">
        <v>711</v>
      </c>
      <c r="M100" s="15">
        <v>46315</v>
      </c>
      <c r="N100" s="14"/>
    </row>
    <row r="101" spans="1:14" ht="27.95" customHeight="1" x14ac:dyDescent="0.15">
      <c r="A101" s="10" t="s">
        <v>440</v>
      </c>
      <c r="B101" s="11" t="s">
        <v>433</v>
      </c>
      <c r="C101" s="16" t="s">
        <v>434</v>
      </c>
      <c r="D101" s="16" t="s">
        <v>435</v>
      </c>
      <c r="E101" s="17" t="s">
        <v>247</v>
      </c>
      <c r="F101" s="16" t="s">
        <v>436</v>
      </c>
      <c r="G101" s="16" t="s">
        <v>437</v>
      </c>
      <c r="H101" s="12" t="s">
        <v>441</v>
      </c>
      <c r="I101" s="12" t="s">
        <v>442</v>
      </c>
      <c r="J101" s="11"/>
      <c r="K101" s="13" t="s">
        <v>17</v>
      </c>
      <c r="L101" s="46" t="s">
        <v>711</v>
      </c>
      <c r="M101" s="15">
        <v>46315</v>
      </c>
      <c r="N101" s="14"/>
    </row>
    <row r="102" spans="1:14" ht="27.95" customHeight="1" x14ac:dyDescent="0.15">
      <c r="A102" s="10" t="s">
        <v>443</v>
      </c>
      <c r="B102" s="11" t="s">
        <v>433</v>
      </c>
      <c r="C102" s="16" t="s">
        <v>434</v>
      </c>
      <c r="D102" s="16" t="s">
        <v>435</v>
      </c>
      <c r="E102" s="17" t="s">
        <v>247</v>
      </c>
      <c r="F102" s="16" t="s">
        <v>436</v>
      </c>
      <c r="G102" s="16" t="s">
        <v>437</v>
      </c>
      <c r="H102" s="12" t="s">
        <v>444</v>
      </c>
      <c r="I102" s="12" t="s">
        <v>445</v>
      </c>
      <c r="J102" s="11"/>
      <c r="K102" s="13" t="s">
        <v>17</v>
      </c>
      <c r="L102" s="46" t="s">
        <v>711</v>
      </c>
      <c r="M102" s="15">
        <v>46315</v>
      </c>
      <c r="N102" s="14"/>
    </row>
    <row r="103" spans="1:14" ht="27.95" customHeight="1" x14ac:dyDescent="0.15">
      <c r="A103" s="10" t="s">
        <v>446</v>
      </c>
      <c r="B103" s="11" t="s">
        <v>433</v>
      </c>
      <c r="C103" s="16" t="s">
        <v>434</v>
      </c>
      <c r="D103" s="16" t="s">
        <v>435</v>
      </c>
      <c r="E103" s="17" t="s">
        <v>247</v>
      </c>
      <c r="F103" s="16" t="s">
        <v>436</v>
      </c>
      <c r="G103" s="16" t="s">
        <v>437</v>
      </c>
      <c r="H103" s="12" t="s">
        <v>447</v>
      </c>
      <c r="I103" s="12" t="s">
        <v>439</v>
      </c>
      <c r="J103" s="11"/>
      <c r="K103" s="13" t="s">
        <v>17</v>
      </c>
      <c r="L103" s="46" t="s">
        <v>711</v>
      </c>
      <c r="M103" s="15">
        <v>46315</v>
      </c>
      <c r="N103" s="14"/>
    </row>
    <row r="104" spans="1:14" ht="54" customHeight="1" x14ac:dyDescent="0.15">
      <c r="A104" s="18" t="s">
        <v>448</v>
      </c>
      <c r="B104" s="19" t="s">
        <v>449</v>
      </c>
      <c r="C104" s="20" t="s">
        <v>450</v>
      </c>
      <c r="D104" s="20" t="s">
        <v>246</v>
      </c>
      <c r="E104" s="19" t="s">
        <v>247</v>
      </c>
      <c r="F104" s="20" t="s">
        <v>117</v>
      </c>
      <c r="G104" s="20" t="s">
        <v>451</v>
      </c>
      <c r="H104" s="20" t="s">
        <v>452</v>
      </c>
      <c r="I104" s="20" t="s">
        <v>453</v>
      </c>
      <c r="J104" s="19" t="s">
        <v>376</v>
      </c>
      <c r="K104" s="13" t="s">
        <v>17</v>
      </c>
      <c r="L104" s="46" t="s">
        <v>711</v>
      </c>
      <c r="M104" s="15">
        <v>46315</v>
      </c>
      <c r="N104" s="14"/>
    </row>
    <row r="105" spans="1:14" ht="20.100000000000001" customHeight="1" x14ac:dyDescent="0.15">
      <c r="A105" s="36" t="s">
        <v>454</v>
      </c>
      <c r="B105" s="34"/>
      <c r="C105" s="34"/>
      <c r="D105" s="34"/>
      <c r="E105" s="34"/>
      <c r="F105" s="34"/>
      <c r="G105" s="34"/>
      <c r="H105" s="34"/>
      <c r="I105" s="34"/>
      <c r="J105" s="34"/>
      <c r="K105" s="34"/>
      <c r="L105" s="34"/>
      <c r="M105" s="34"/>
      <c r="N105" s="34"/>
    </row>
    <row r="106" spans="1:14" ht="80.099999999999994" customHeight="1" x14ac:dyDescent="0.15">
      <c r="A106" s="10" t="s">
        <v>455</v>
      </c>
      <c r="B106" s="11" t="s">
        <v>456</v>
      </c>
      <c r="C106" s="12" t="s">
        <v>457</v>
      </c>
      <c r="D106" s="12" t="s">
        <v>458</v>
      </c>
      <c r="E106" s="11" t="s">
        <v>96</v>
      </c>
      <c r="F106" s="12" t="s">
        <v>97</v>
      </c>
      <c r="G106" s="12" t="s">
        <v>459</v>
      </c>
      <c r="H106" s="12" t="s">
        <v>460</v>
      </c>
      <c r="I106" s="12" t="s">
        <v>461</v>
      </c>
      <c r="J106" s="11"/>
      <c r="K106" s="13" t="s">
        <v>17</v>
      </c>
      <c r="L106" s="46" t="s">
        <v>711</v>
      </c>
      <c r="M106" s="15">
        <v>46315</v>
      </c>
      <c r="N106" s="14"/>
    </row>
    <row r="107" spans="1:14" ht="27.95" customHeight="1" x14ac:dyDescent="0.15">
      <c r="A107" s="10" t="s">
        <v>462</v>
      </c>
      <c r="B107" s="11" t="s">
        <v>456</v>
      </c>
      <c r="C107" s="16" t="s">
        <v>457</v>
      </c>
      <c r="D107" s="16" t="s">
        <v>458</v>
      </c>
      <c r="E107" s="17" t="s">
        <v>96</v>
      </c>
      <c r="F107" s="16" t="s">
        <v>97</v>
      </c>
      <c r="G107" s="16" t="s">
        <v>459</v>
      </c>
      <c r="H107" s="12" t="s">
        <v>463</v>
      </c>
      <c r="I107" s="12" t="s">
        <v>464</v>
      </c>
      <c r="J107" s="11"/>
      <c r="K107" s="13" t="s">
        <v>17</v>
      </c>
      <c r="L107" s="46" t="s">
        <v>711</v>
      </c>
      <c r="M107" s="15">
        <v>46315</v>
      </c>
      <c r="N107" s="14"/>
    </row>
    <row r="108" spans="1:14" ht="27.95" customHeight="1" x14ac:dyDescent="0.15">
      <c r="A108" s="10" t="s">
        <v>465</v>
      </c>
      <c r="B108" s="11" t="s">
        <v>456</v>
      </c>
      <c r="C108" s="16" t="s">
        <v>457</v>
      </c>
      <c r="D108" s="16" t="s">
        <v>458</v>
      </c>
      <c r="E108" s="17" t="s">
        <v>96</v>
      </c>
      <c r="F108" s="16" t="s">
        <v>97</v>
      </c>
      <c r="G108" s="16" t="s">
        <v>459</v>
      </c>
      <c r="H108" s="12" t="s">
        <v>466</v>
      </c>
      <c r="I108" s="12" t="s">
        <v>467</v>
      </c>
      <c r="J108" s="11"/>
      <c r="K108" s="13" t="s">
        <v>17</v>
      </c>
      <c r="L108" s="46" t="s">
        <v>711</v>
      </c>
      <c r="M108" s="15">
        <v>46315</v>
      </c>
      <c r="N108" s="14"/>
    </row>
    <row r="109" spans="1:14" ht="27.95" customHeight="1" x14ac:dyDescent="0.15">
      <c r="A109" s="10" t="s">
        <v>468</v>
      </c>
      <c r="B109" s="11" t="s">
        <v>456</v>
      </c>
      <c r="C109" s="16" t="s">
        <v>457</v>
      </c>
      <c r="D109" s="16" t="s">
        <v>458</v>
      </c>
      <c r="E109" s="17" t="s">
        <v>96</v>
      </c>
      <c r="F109" s="16" t="s">
        <v>97</v>
      </c>
      <c r="G109" s="16" t="s">
        <v>459</v>
      </c>
      <c r="H109" s="12" t="s">
        <v>469</v>
      </c>
      <c r="I109" s="12" t="s">
        <v>470</v>
      </c>
      <c r="J109" s="11"/>
      <c r="K109" s="13" t="s">
        <v>17</v>
      </c>
      <c r="L109" s="46" t="s">
        <v>711</v>
      </c>
      <c r="M109" s="15">
        <v>46315</v>
      </c>
      <c r="N109" s="14"/>
    </row>
    <row r="110" spans="1:14" ht="129.94999999999999" customHeight="1" x14ac:dyDescent="0.15">
      <c r="A110" s="18" t="s">
        <v>471</v>
      </c>
      <c r="B110" s="19" t="s">
        <v>472</v>
      </c>
      <c r="C110" s="20" t="s">
        <v>473</v>
      </c>
      <c r="D110" s="20" t="s">
        <v>146</v>
      </c>
      <c r="E110" s="19" t="s">
        <v>96</v>
      </c>
      <c r="F110" s="20" t="s">
        <v>97</v>
      </c>
      <c r="G110" s="20" t="s">
        <v>474</v>
      </c>
      <c r="H110" s="20" t="s">
        <v>475</v>
      </c>
      <c r="I110" s="20" t="s">
        <v>476</v>
      </c>
      <c r="J110" s="19"/>
      <c r="K110" s="13" t="s">
        <v>17</v>
      </c>
      <c r="L110" s="46" t="s">
        <v>711</v>
      </c>
      <c r="M110" s="15">
        <v>46315</v>
      </c>
      <c r="N110" s="14"/>
    </row>
    <row r="111" spans="1:14" ht="41.1" customHeight="1" x14ac:dyDescent="0.15">
      <c r="A111" s="10" t="s">
        <v>477</v>
      </c>
      <c r="B111" s="11" t="s">
        <v>478</v>
      </c>
      <c r="C111" s="12" t="s">
        <v>479</v>
      </c>
      <c r="D111" s="12" t="s">
        <v>176</v>
      </c>
      <c r="E111" s="11" t="s">
        <v>96</v>
      </c>
      <c r="F111" s="12" t="s">
        <v>166</v>
      </c>
      <c r="G111" s="12" t="s">
        <v>480</v>
      </c>
      <c r="H111" s="12" t="s">
        <v>481</v>
      </c>
      <c r="I111" s="12" t="s">
        <v>482</v>
      </c>
      <c r="J111" s="11"/>
      <c r="K111" s="13" t="s">
        <v>17</v>
      </c>
      <c r="L111" s="46" t="s">
        <v>711</v>
      </c>
      <c r="M111" s="15">
        <v>46315</v>
      </c>
      <c r="N111" s="14"/>
    </row>
    <row r="112" spans="1:14" ht="27.95" customHeight="1" x14ac:dyDescent="0.15">
      <c r="A112" s="10" t="s">
        <v>483</v>
      </c>
      <c r="B112" s="11" t="s">
        <v>478</v>
      </c>
      <c r="C112" s="16" t="s">
        <v>479</v>
      </c>
      <c r="D112" s="16" t="s">
        <v>176</v>
      </c>
      <c r="E112" s="17" t="s">
        <v>96</v>
      </c>
      <c r="F112" s="16" t="s">
        <v>166</v>
      </c>
      <c r="G112" s="16" t="s">
        <v>480</v>
      </c>
      <c r="H112" s="12"/>
      <c r="I112" s="12" t="s">
        <v>484</v>
      </c>
      <c r="J112" s="11"/>
      <c r="K112" s="13" t="s">
        <v>17</v>
      </c>
      <c r="L112" s="46" t="s">
        <v>711</v>
      </c>
      <c r="M112" s="15">
        <v>46315</v>
      </c>
      <c r="N112" s="14"/>
    </row>
    <row r="113" spans="1:14" ht="80.099999999999994" customHeight="1" x14ac:dyDescent="0.15">
      <c r="A113" s="18" t="s">
        <v>485</v>
      </c>
      <c r="B113" s="19" t="s">
        <v>486</v>
      </c>
      <c r="C113" s="20" t="s">
        <v>487</v>
      </c>
      <c r="D113" s="20" t="s">
        <v>488</v>
      </c>
      <c r="E113" s="19" t="s">
        <v>96</v>
      </c>
      <c r="F113" s="20" t="s">
        <v>166</v>
      </c>
      <c r="G113" s="20" t="s">
        <v>489</v>
      </c>
      <c r="H113" s="20" t="s">
        <v>490</v>
      </c>
      <c r="I113" s="20" t="s">
        <v>491</v>
      </c>
      <c r="J113" s="19" t="s">
        <v>376</v>
      </c>
      <c r="K113" s="13" t="s">
        <v>17</v>
      </c>
      <c r="L113" s="46" t="s">
        <v>711</v>
      </c>
      <c r="M113" s="15">
        <v>46315</v>
      </c>
      <c r="N113" s="14"/>
    </row>
    <row r="114" spans="1:14" ht="27.95" customHeight="1" x14ac:dyDescent="0.15">
      <c r="A114" s="18" t="s">
        <v>492</v>
      </c>
      <c r="B114" s="19" t="s">
        <v>486</v>
      </c>
      <c r="C114" s="21" t="s">
        <v>487</v>
      </c>
      <c r="D114" s="21" t="s">
        <v>488</v>
      </c>
      <c r="E114" s="22" t="s">
        <v>96</v>
      </c>
      <c r="F114" s="21" t="s">
        <v>166</v>
      </c>
      <c r="G114" s="21" t="s">
        <v>489</v>
      </c>
      <c r="H114" s="20"/>
      <c r="I114" s="20" t="s">
        <v>493</v>
      </c>
      <c r="J114" s="19" t="s">
        <v>376</v>
      </c>
      <c r="K114" s="13" t="s">
        <v>17</v>
      </c>
      <c r="L114" s="46" t="s">
        <v>711</v>
      </c>
      <c r="M114" s="15">
        <v>46315</v>
      </c>
      <c r="N114" s="14"/>
    </row>
    <row r="115" spans="1:14" ht="27.95" customHeight="1" x14ac:dyDescent="0.15">
      <c r="A115" s="18" t="s">
        <v>494</v>
      </c>
      <c r="B115" s="19" t="s">
        <v>486</v>
      </c>
      <c r="C115" s="21" t="s">
        <v>487</v>
      </c>
      <c r="D115" s="21" t="s">
        <v>488</v>
      </c>
      <c r="E115" s="22" t="s">
        <v>96</v>
      </c>
      <c r="F115" s="21" t="s">
        <v>166</v>
      </c>
      <c r="G115" s="21" t="s">
        <v>489</v>
      </c>
      <c r="H115" s="20"/>
      <c r="I115" s="20" t="s">
        <v>495</v>
      </c>
      <c r="J115" s="19" t="s">
        <v>376</v>
      </c>
      <c r="K115" s="13" t="s">
        <v>17</v>
      </c>
      <c r="L115" s="46" t="s">
        <v>711</v>
      </c>
      <c r="M115" s="15">
        <v>46315</v>
      </c>
      <c r="N115" s="14"/>
    </row>
    <row r="116" spans="1:14" ht="27.95" customHeight="1" x14ac:dyDescent="0.15">
      <c r="A116" s="18" t="s">
        <v>496</v>
      </c>
      <c r="B116" s="19" t="s">
        <v>486</v>
      </c>
      <c r="C116" s="21" t="s">
        <v>487</v>
      </c>
      <c r="D116" s="21" t="s">
        <v>488</v>
      </c>
      <c r="E116" s="22" t="s">
        <v>96</v>
      </c>
      <c r="F116" s="21" t="s">
        <v>166</v>
      </c>
      <c r="G116" s="21" t="s">
        <v>489</v>
      </c>
      <c r="H116" s="20"/>
      <c r="I116" s="20" t="s">
        <v>497</v>
      </c>
      <c r="J116" s="19" t="s">
        <v>376</v>
      </c>
      <c r="K116" s="13" t="s">
        <v>17</v>
      </c>
      <c r="L116" s="46" t="s">
        <v>711</v>
      </c>
      <c r="M116" s="15">
        <v>46315</v>
      </c>
      <c r="N116" s="14"/>
    </row>
    <row r="117" spans="1:14" ht="27.95" customHeight="1" x14ac:dyDescent="0.15">
      <c r="A117" s="18" t="s">
        <v>498</v>
      </c>
      <c r="B117" s="19" t="s">
        <v>486</v>
      </c>
      <c r="C117" s="21" t="s">
        <v>487</v>
      </c>
      <c r="D117" s="21" t="s">
        <v>488</v>
      </c>
      <c r="E117" s="22" t="s">
        <v>96</v>
      </c>
      <c r="F117" s="21" t="s">
        <v>166</v>
      </c>
      <c r="G117" s="21" t="s">
        <v>489</v>
      </c>
      <c r="H117" s="20"/>
      <c r="I117" s="20" t="s">
        <v>499</v>
      </c>
      <c r="J117" s="19" t="s">
        <v>376</v>
      </c>
      <c r="K117" s="13" t="s">
        <v>17</v>
      </c>
      <c r="L117" s="46" t="s">
        <v>711</v>
      </c>
      <c r="M117" s="15">
        <v>46315</v>
      </c>
      <c r="N117" s="14"/>
    </row>
    <row r="118" spans="1:14" ht="27.95" customHeight="1" x14ac:dyDescent="0.15">
      <c r="A118" s="18" t="s">
        <v>500</v>
      </c>
      <c r="B118" s="19" t="s">
        <v>486</v>
      </c>
      <c r="C118" s="21" t="s">
        <v>487</v>
      </c>
      <c r="D118" s="21" t="s">
        <v>488</v>
      </c>
      <c r="E118" s="22" t="s">
        <v>96</v>
      </c>
      <c r="F118" s="21" t="s">
        <v>166</v>
      </c>
      <c r="G118" s="21" t="s">
        <v>489</v>
      </c>
      <c r="H118" s="20" t="s">
        <v>501</v>
      </c>
      <c r="I118" s="20" t="s">
        <v>502</v>
      </c>
      <c r="J118" s="19" t="s">
        <v>376</v>
      </c>
      <c r="K118" s="13" t="s">
        <v>17</v>
      </c>
      <c r="L118" s="46" t="s">
        <v>711</v>
      </c>
      <c r="M118" s="15">
        <v>46315</v>
      </c>
      <c r="N118" s="14"/>
    </row>
    <row r="119" spans="1:14" ht="27.95" customHeight="1" x14ac:dyDescent="0.15">
      <c r="A119" s="18" t="s">
        <v>503</v>
      </c>
      <c r="B119" s="19" t="s">
        <v>486</v>
      </c>
      <c r="C119" s="21" t="s">
        <v>487</v>
      </c>
      <c r="D119" s="21" t="s">
        <v>488</v>
      </c>
      <c r="E119" s="22" t="s">
        <v>96</v>
      </c>
      <c r="F119" s="21" t="s">
        <v>166</v>
      </c>
      <c r="G119" s="21" t="s">
        <v>489</v>
      </c>
      <c r="H119" s="20"/>
      <c r="I119" s="20" t="s">
        <v>504</v>
      </c>
      <c r="J119" s="19" t="s">
        <v>376</v>
      </c>
      <c r="K119" s="13" t="s">
        <v>17</v>
      </c>
      <c r="L119" s="46" t="s">
        <v>711</v>
      </c>
      <c r="M119" s="15">
        <v>46315</v>
      </c>
      <c r="N119" s="14"/>
    </row>
    <row r="120" spans="1:14" ht="207" customHeight="1" x14ac:dyDescent="0.15">
      <c r="A120" s="10" t="s">
        <v>505</v>
      </c>
      <c r="B120" s="11" t="s">
        <v>506</v>
      </c>
      <c r="C120" s="12" t="s">
        <v>507</v>
      </c>
      <c r="D120" s="12" t="s">
        <v>263</v>
      </c>
      <c r="E120" s="11" t="s">
        <v>247</v>
      </c>
      <c r="F120" s="12" t="s">
        <v>97</v>
      </c>
      <c r="G120" s="12" t="s">
        <v>508</v>
      </c>
      <c r="H120" s="12" t="s">
        <v>509</v>
      </c>
      <c r="I120" s="12" t="s">
        <v>510</v>
      </c>
      <c r="J120" s="11"/>
      <c r="K120" s="13" t="s">
        <v>17</v>
      </c>
      <c r="L120" s="46" t="s">
        <v>711</v>
      </c>
      <c r="M120" s="15">
        <v>46315</v>
      </c>
      <c r="N120" s="14"/>
    </row>
    <row r="121" spans="1:14" ht="15.95" customHeight="1" x14ac:dyDescent="0.15">
      <c r="A121" s="10" t="s">
        <v>511</v>
      </c>
      <c r="B121" s="11" t="s">
        <v>506</v>
      </c>
      <c r="C121" s="16" t="s">
        <v>507</v>
      </c>
      <c r="D121" s="16" t="s">
        <v>263</v>
      </c>
      <c r="E121" s="17" t="s">
        <v>247</v>
      </c>
      <c r="F121" s="16" t="s">
        <v>97</v>
      </c>
      <c r="G121" s="16" t="s">
        <v>508</v>
      </c>
      <c r="H121" s="12" t="s">
        <v>512</v>
      </c>
      <c r="I121" s="12" t="s">
        <v>513</v>
      </c>
      <c r="J121" s="11"/>
      <c r="K121" s="13" t="s">
        <v>17</v>
      </c>
      <c r="L121" s="46" t="s">
        <v>711</v>
      </c>
      <c r="M121" s="15">
        <v>46315</v>
      </c>
      <c r="N121" s="14"/>
    </row>
    <row r="122" spans="1:14" ht="54" customHeight="1" x14ac:dyDescent="0.15">
      <c r="A122" s="18" t="s">
        <v>514</v>
      </c>
      <c r="B122" s="19" t="s">
        <v>515</v>
      </c>
      <c r="C122" s="20" t="s">
        <v>516</v>
      </c>
      <c r="D122" s="20" t="s">
        <v>334</v>
      </c>
      <c r="E122" s="19" t="s">
        <v>247</v>
      </c>
      <c r="F122" s="20" t="s">
        <v>97</v>
      </c>
      <c r="G122" s="20" t="s">
        <v>517</v>
      </c>
      <c r="H122" s="20" t="s">
        <v>518</v>
      </c>
      <c r="I122" s="20" t="s">
        <v>519</v>
      </c>
      <c r="J122" s="19"/>
      <c r="K122" s="13" t="s">
        <v>17</v>
      </c>
      <c r="L122" s="46" t="s">
        <v>711</v>
      </c>
      <c r="M122" s="15">
        <v>46315</v>
      </c>
      <c r="N122" s="14"/>
    </row>
    <row r="123" spans="1:14" ht="27.95" customHeight="1" x14ac:dyDescent="0.15">
      <c r="A123" s="18" t="s">
        <v>520</v>
      </c>
      <c r="B123" s="19" t="s">
        <v>515</v>
      </c>
      <c r="C123" s="21" t="s">
        <v>516</v>
      </c>
      <c r="D123" s="21" t="s">
        <v>334</v>
      </c>
      <c r="E123" s="22" t="s">
        <v>247</v>
      </c>
      <c r="F123" s="21" t="s">
        <v>97</v>
      </c>
      <c r="G123" s="21" t="s">
        <v>517</v>
      </c>
      <c r="H123" s="20"/>
      <c r="I123" s="20" t="s">
        <v>521</v>
      </c>
      <c r="J123" s="19"/>
      <c r="K123" s="13" t="s">
        <v>17</v>
      </c>
      <c r="L123" s="46" t="s">
        <v>711</v>
      </c>
      <c r="M123" s="15">
        <v>46315</v>
      </c>
      <c r="N123" s="14"/>
    </row>
    <row r="124" spans="1:14" ht="80.099999999999994" customHeight="1" x14ac:dyDescent="0.15">
      <c r="A124" s="10" t="s">
        <v>522</v>
      </c>
      <c r="B124" s="11" t="s">
        <v>523</v>
      </c>
      <c r="C124" s="12" t="s">
        <v>524</v>
      </c>
      <c r="D124" s="12" t="s">
        <v>525</v>
      </c>
      <c r="E124" s="11" t="s">
        <v>247</v>
      </c>
      <c r="F124" s="12" t="s">
        <v>526</v>
      </c>
      <c r="G124" s="12" t="s">
        <v>527</v>
      </c>
      <c r="H124" s="12" t="s">
        <v>528</v>
      </c>
      <c r="I124" s="12" t="s">
        <v>529</v>
      </c>
      <c r="J124" s="11" t="s">
        <v>376</v>
      </c>
      <c r="K124" s="13" t="s">
        <v>17</v>
      </c>
      <c r="L124" s="46" t="s">
        <v>711</v>
      </c>
      <c r="M124" s="15">
        <v>46315</v>
      </c>
      <c r="N124" s="14"/>
    </row>
    <row r="125" spans="1:14" ht="20.100000000000001" customHeight="1" x14ac:dyDescent="0.15">
      <c r="A125" s="36" t="s">
        <v>530</v>
      </c>
      <c r="B125" s="34"/>
      <c r="C125" s="34"/>
      <c r="D125" s="34"/>
      <c r="E125" s="34"/>
      <c r="F125" s="34"/>
      <c r="G125" s="34"/>
      <c r="H125" s="34"/>
      <c r="I125" s="34"/>
      <c r="J125" s="34"/>
      <c r="K125" s="34"/>
      <c r="L125" s="34"/>
      <c r="M125" s="34"/>
      <c r="N125" s="34"/>
    </row>
    <row r="126" spans="1:14" ht="41.1" customHeight="1" x14ac:dyDescent="0.15">
      <c r="A126" s="18" t="s">
        <v>531</v>
      </c>
      <c r="B126" s="19" t="s">
        <v>532</v>
      </c>
      <c r="C126" s="20" t="s">
        <v>533</v>
      </c>
      <c r="D126" s="20" t="s">
        <v>534</v>
      </c>
      <c r="E126" s="19" t="s">
        <v>535</v>
      </c>
      <c r="F126" s="20" t="s">
        <v>536</v>
      </c>
      <c r="G126" s="20" t="s">
        <v>98</v>
      </c>
      <c r="H126" s="20" t="s">
        <v>537</v>
      </c>
      <c r="I126" s="20" t="s">
        <v>538</v>
      </c>
      <c r="J126" s="19"/>
      <c r="K126" s="13" t="s">
        <v>17</v>
      </c>
      <c r="L126" s="46" t="s">
        <v>711</v>
      </c>
      <c r="M126" s="15">
        <v>46315</v>
      </c>
      <c r="N126" s="14"/>
    </row>
    <row r="127" spans="1:14" ht="27.95" customHeight="1" x14ac:dyDescent="0.15">
      <c r="A127" s="18" t="s">
        <v>539</v>
      </c>
      <c r="B127" s="19" t="s">
        <v>532</v>
      </c>
      <c r="C127" s="21" t="s">
        <v>533</v>
      </c>
      <c r="D127" s="21" t="s">
        <v>534</v>
      </c>
      <c r="E127" s="22" t="s">
        <v>535</v>
      </c>
      <c r="F127" s="21" t="s">
        <v>536</v>
      </c>
      <c r="G127" s="21" t="s">
        <v>98</v>
      </c>
      <c r="H127" s="20" t="s">
        <v>540</v>
      </c>
      <c r="I127" s="20" t="s">
        <v>541</v>
      </c>
      <c r="J127" s="19" t="s">
        <v>376</v>
      </c>
      <c r="K127" s="13" t="s">
        <v>17</v>
      </c>
      <c r="L127" s="46" t="s">
        <v>711</v>
      </c>
      <c r="M127" s="15">
        <v>46315</v>
      </c>
      <c r="N127" s="14"/>
    </row>
    <row r="128" spans="1:14" ht="27.95" customHeight="1" x14ac:dyDescent="0.15">
      <c r="A128" s="18" t="s">
        <v>542</v>
      </c>
      <c r="B128" s="19" t="s">
        <v>532</v>
      </c>
      <c r="C128" s="21" t="s">
        <v>533</v>
      </c>
      <c r="D128" s="21" t="s">
        <v>534</v>
      </c>
      <c r="E128" s="22" t="s">
        <v>535</v>
      </c>
      <c r="F128" s="21" t="s">
        <v>536</v>
      </c>
      <c r="G128" s="21" t="s">
        <v>98</v>
      </c>
      <c r="H128" s="20" t="s">
        <v>543</v>
      </c>
      <c r="I128" s="20" t="s">
        <v>544</v>
      </c>
      <c r="J128" s="19"/>
      <c r="K128" s="13" t="s">
        <v>17</v>
      </c>
      <c r="L128" s="46" t="s">
        <v>711</v>
      </c>
      <c r="M128" s="15">
        <v>46315</v>
      </c>
      <c r="N128" s="14"/>
    </row>
    <row r="129" spans="1:14" ht="27.95" customHeight="1" x14ac:dyDescent="0.15">
      <c r="A129" s="18" t="s">
        <v>545</v>
      </c>
      <c r="B129" s="19" t="s">
        <v>532</v>
      </c>
      <c r="C129" s="21" t="s">
        <v>533</v>
      </c>
      <c r="D129" s="21" t="s">
        <v>534</v>
      </c>
      <c r="E129" s="22" t="s">
        <v>535</v>
      </c>
      <c r="F129" s="21" t="s">
        <v>536</v>
      </c>
      <c r="G129" s="21" t="s">
        <v>98</v>
      </c>
      <c r="H129" s="20" t="s">
        <v>546</v>
      </c>
      <c r="I129" s="20" t="s">
        <v>547</v>
      </c>
      <c r="J129" s="19"/>
      <c r="K129" s="13" t="s">
        <v>17</v>
      </c>
      <c r="L129" s="46" t="s">
        <v>711</v>
      </c>
      <c r="M129" s="15">
        <v>46315</v>
      </c>
      <c r="N129" s="14"/>
    </row>
    <row r="130" spans="1:14" ht="15.95" customHeight="1" x14ac:dyDescent="0.15">
      <c r="A130" s="18" t="s">
        <v>548</v>
      </c>
      <c r="B130" s="19" t="s">
        <v>532</v>
      </c>
      <c r="C130" s="21" t="s">
        <v>533</v>
      </c>
      <c r="D130" s="21" t="s">
        <v>534</v>
      </c>
      <c r="E130" s="22" t="s">
        <v>535</v>
      </c>
      <c r="F130" s="21" t="s">
        <v>536</v>
      </c>
      <c r="G130" s="21" t="s">
        <v>98</v>
      </c>
      <c r="H130" s="20" t="s">
        <v>549</v>
      </c>
      <c r="I130" s="20" t="s">
        <v>550</v>
      </c>
      <c r="J130" s="19"/>
      <c r="K130" s="13" t="s">
        <v>17</v>
      </c>
      <c r="L130" s="46" t="s">
        <v>711</v>
      </c>
      <c r="M130" s="15">
        <v>46315</v>
      </c>
      <c r="N130" s="14"/>
    </row>
  </sheetData>
  <autoFilter ref="A3:N130" xr:uid="{00000000-0009-0000-0000-000001000000}"/>
  <mergeCells count="6">
    <mergeCell ref="A1:N1"/>
    <mergeCell ref="A105:N105"/>
    <mergeCell ref="A4:N4"/>
    <mergeCell ref="A125:N125"/>
    <mergeCell ref="A2:N2"/>
    <mergeCell ref="A80:N80"/>
  </mergeCells>
  <phoneticPr fontId="10"/>
  <conditionalFormatting sqref="K4:K130">
    <cfRule type="expression" dxfId="17" priority="1">
      <formula>$K4="Pass"</formula>
    </cfRule>
    <cfRule type="expression" dxfId="16" priority="2">
      <formula>$K4="Fail"</formula>
    </cfRule>
    <cfRule type="expression" dxfId="15" priority="3">
      <formula>$K4="Blocked"</formula>
    </cfRule>
    <cfRule type="expression" dxfId="14" priority="4">
      <formula>$K4="N/A"</formula>
    </cfRule>
    <cfRule type="expression" dxfId="13" priority="5">
      <formula>$K4="Not run"</formula>
    </cfRule>
  </conditionalFormatting>
  <dataValidations count="2">
    <dataValidation type="list" allowBlank="1" errorTitle="Status" error="Choose Pass, Fail, Blocked, Not run or N/A." promptTitle="Status" prompt="Pass / Fail / Blocked / Not run / N/A" sqref="K4:K130" xr:uid="{00000000-0002-0000-0100-000000000000}">
      <formula1>"Pass,Fail,Blocked,Not run,N/A"</formula1>
    </dataValidation>
    <dataValidation type="date" operator="greaterThan" allowBlank="1" error="Enter a date, e.g. 2026-10-21." sqref="M4:M130" xr:uid="{00000000-0002-0000-0100-000001000000}">
      <formula1>44927</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9"/>
  <sheetViews>
    <sheetView workbookViewId="0">
      <pane xSplit="2" ySplit="4" topLeftCell="C5" activePane="bottomRight" state="frozen"/>
      <selection pane="topRight"/>
      <selection pane="bottomLeft"/>
      <selection pane="bottomRight" sqref="A1:N1"/>
    </sheetView>
  </sheetViews>
  <sheetFormatPr defaultRowHeight="13.5" x14ac:dyDescent="0.15"/>
  <cols>
    <col min="1" max="1" width="8" customWidth="1"/>
    <col min="2" max="2" width="40" customWidth="1"/>
    <col min="3" max="3" width="20" customWidth="1"/>
    <col min="4" max="4" width="9" customWidth="1"/>
    <col min="5" max="5" width="8" customWidth="1"/>
    <col min="6" max="6" width="9" customWidth="1"/>
    <col min="7" max="8" width="7" customWidth="1"/>
    <col min="9" max="9" width="8" customWidth="1"/>
    <col min="10" max="10" width="7" customWidth="1"/>
    <col min="11" max="12" width="10" customWidth="1"/>
    <col min="13" max="13" width="9" customWidth="1"/>
    <col min="14" max="14" width="13" customWidth="1"/>
  </cols>
  <sheetData>
    <row r="1" spans="1:14" ht="18" x14ac:dyDescent="0.25">
      <c r="A1" s="35" t="s">
        <v>551</v>
      </c>
      <c r="B1" s="34"/>
      <c r="C1" s="34"/>
      <c r="D1" s="34"/>
      <c r="E1" s="34"/>
      <c r="F1" s="34"/>
      <c r="G1" s="34"/>
      <c r="H1" s="34"/>
      <c r="I1" s="34"/>
      <c r="J1" s="34"/>
      <c r="K1" s="34"/>
      <c r="L1" s="34"/>
      <c r="M1" s="34"/>
      <c r="N1" s="34"/>
    </row>
    <row r="2" spans="1:14" ht="27.95" customHeight="1" x14ac:dyDescent="0.15">
      <c r="A2" s="37" t="s">
        <v>552</v>
      </c>
      <c r="B2" s="34"/>
      <c r="C2" s="34"/>
      <c r="D2" s="34"/>
      <c r="E2" s="34"/>
      <c r="F2" s="34"/>
      <c r="G2" s="34"/>
      <c r="H2" s="34"/>
      <c r="I2" s="34"/>
      <c r="J2" s="34"/>
      <c r="K2" s="34"/>
      <c r="L2" s="34"/>
      <c r="M2" s="34"/>
      <c r="N2" s="34"/>
    </row>
    <row r="3" spans="1:14" ht="15.95" customHeight="1" x14ac:dyDescent="0.15"/>
    <row r="4" spans="1:14" ht="27.95" customHeight="1" x14ac:dyDescent="0.15">
      <c r="A4" s="9" t="s">
        <v>79</v>
      </c>
      <c r="B4" s="9" t="s">
        <v>80</v>
      </c>
      <c r="C4" s="9" t="s">
        <v>81</v>
      </c>
      <c r="D4" s="9" t="s">
        <v>82</v>
      </c>
      <c r="E4" s="9" t="s">
        <v>553</v>
      </c>
      <c r="F4" s="9" t="s">
        <v>554</v>
      </c>
      <c r="G4" s="9" t="s">
        <v>17</v>
      </c>
      <c r="H4" s="9" t="s">
        <v>19</v>
      </c>
      <c r="I4" s="9" t="s">
        <v>21</v>
      </c>
      <c r="J4" s="9" t="s">
        <v>25</v>
      </c>
      <c r="K4" s="9" t="s">
        <v>555</v>
      </c>
      <c r="L4" s="9" t="s">
        <v>556</v>
      </c>
      <c r="M4" s="9" t="s">
        <v>557</v>
      </c>
      <c r="N4" s="9" t="s">
        <v>558</v>
      </c>
    </row>
    <row r="5" spans="1:14" ht="15.95" customHeight="1" x14ac:dyDescent="0.15">
      <c r="A5" s="18" t="s">
        <v>93</v>
      </c>
      <c r="B5" s="20" t="s">
        <v>94</v>
      </c>
      <c r="C5" s="20" t="s">
        <v>95</v>
      </c>
      <c r="D5" s="19" t="s">
        <v>96</v>
      </c>
      <c r="E5" s="19">
        <f>COUNTIF(Checklist!$B$4:$B$130,$A5)</f>
        <v>7</v>
      </c>
      <c r="F5" s="19">
        <f>COUNTIFS(Checklist!$B$4:$B$130,$A5,Checklist!$J$4:$J$130,"&lt;&gt;Yes")</f>
        <v>7</v>
      </c>
      <c r="G5" s="19">
        <f>COUNTIFS(Checklist!$B$4:$B$130,$A5,Checklist!$K$4:$K$130,"Pass")</f>
        <v>7</v>
      </c>
      <c r="H5" s="19">
        <f>COUNTIFS(Checklist!$B$4:$B$130,$A5,Checklist!$K$4:$K$130,"Fail")</f>
        <v>0</v>
      </c>
      <c r="I5" s="19">
        <f>COUNTIFS(Checklist!$B$4:$B$130,$A5,Checklist!$K$4:$K$130,"Blocked")</f>
        <v>0</v>
      </c>
      <c r="J5" s="19">
        <f>COUNTIFS(Checklist!$B$4:$B$130,$A5,Checklist!$K$4:$K$130,"N/A")</f>
        <v>0</v>
      </c>
      <c r="K5" s="19">
        <f t="shared" ref="K5:K40" si="0">E5-G5-H5-I5-J5</f>
        <v>0</v>
      </c>
      <c r="L5" s="19">
        <f>COUNTIFS(Checklist!$B$4:$B$130,$A5,Checklist!$J$4:$J$130,"&lt;&gt;Yes",Checklist!$K$4:$K$130,"&lt;&gt;Pass",Checklist!$K$4:$K$130,"&lt;&gt;N/A")</f>
        <v>0</v>
      </c>
      <c r="M5" s="23">
        <f t="shared" ref="M5:M41" si="1">IF(E5=0,0,(G5+H5+I5+J5)/E5)</f>
        <v>1</v>
      </c>
      <c r="N5" s="19" t="str">
        <f t="shared" ref="N5:N41" si="2">IF(H5&gt;0,"Fail",IF(I5&gt;0,"Blocked",IF(G5+H5+I5+J5=0,IF(F5=0,"Optional","Not started"),IF(L5=0,"Pass","In progress"))))</f>
        <v>Pass</v>
      </c>
    </row>
    <row r="6" spans="1:14" ht="15.95" customHeight="1" x14ac:dyDescent="0.15">
      <c r="A6" s="18" t="s">
        <v>114</v>
      </c>
      <c r="B6" s="20" t="s">
        <v>115</v>
      </c>
      <c r="C6" s="20" t="s">
        <v>116</v>
      </c>
      <c r="D6" s="19" t="s">
        <v>96</v>
      </c>
      <c r="E6" s="19">
        <f>COUNTIF(Checklist!$B$4:$B$130,$A6)</f>
        <v>3</v>
      </c>
      <c r="F6" s="19">
        <f>COUNTIFS(Checklist!$B$4:$B$130,$A6,Checklist!$J$4:$J$130,"&lt;&gt;Yes")</f>
        <v>3</v>
      </c>
      <c r="G6" s="19">
        <f>COUNTIFS(Checklist!$B$4:$B$130,$A6,Checklist!$K$4:$K$130,"Pass")</f>
        <v>3</v>
      </c>
      <c r="H6" s="19">
        <f>COUNTIFS(Checklist!$B$4:$B$130,$A6,Checklist!$K$4:$K$130,"Fail")</f>
        <v>0</v>
      </c>
      <c r="I6" s="19">
        <f>COUNTIFS(Checklist!$B$4:$B$130,$A6,Checklist!$K$4:$K$130,"Blocked")</f>
        <v>0</v>
      </c>
      <c r="J6" s="19">
        <f>COUNTIFS(Checklist!$B$4:$B$130,$A6,Checklist!$K$4:$K$130,"N/A")</f>
        <v>0</v>
      </c>
      <c r="K6" s="19">
        <f t="shared" si="0"/>
        <v>0</v>
      </c>
      <c r="L6" s="19">
        <f>COUNTIFS(Checklist!$B$4:$B$130,$A6,Checklist!$J$4:$J$130,"&lt;&gt;Yes",Checklist!$K$4:$K$130,"&lt;&gt;Pass",Checklist!$K$4:$K$130,"&lt;&gt;N/A")</f>
        <v>0</v>
      </c>
      <c r="M6" s="23">
        <f t="shared" si="1"/>
        <v>1</v>
      </c>
      <c r="N6" s="19" t="str">
        <f t="shared" si="2"/>
        <v>Pass</v>
      </c>
    </row>
    <row r="7" spans="1:14" ht="15.95" customHeight="1" x14ac:dyDescent="0.15">
      <c r="A7" s="18" t="s">
        <v>125</v>
      </c>
      <c r="B7" s="20" t="s">
        <v>126</v>
      </c>
      <c r="C7" s="20" t="s">
        <v>127</v>
      </c>
      <c r="D7" s="19" t="s">
        <v>96</v>
      </c>
      <c r="E7" s="19">
        <f>COUNTIF(Checklist!$B$4:$B$130,$A7)</f>
        <v>3</v>
      </c>
      <c r="F7" s="19">
        <f>COUNTIFS(Checklist!$B$4:$B$130,$A7,Checklist!$J$4:$J$130,"&lt;&gt;Yes")</f>
        <v>3</v>
      </c>
      <c r="G7" s="19">
        <f>COUNTIFS(Checklist!$B$4:$B$130,$A7,Checklist!$K$4:$K$130,"Pass")</f>
        <v>3</v>
      </c>
      <c r="H7" s="19">
        <f>COUNTIFS(Checklist!$B$4:$B$130,$A7,Checklist!$K$4:$K$130,"Fail")</f>
        <v>0</v>
      </c>
      <c r="I7" s="19">
        <f>COUNTIFS(Checklist!$B$4:$B$130,$A7,Checklist!$K$4:$K$130,"Blocked")</f>
        <v>0</v>
      </c>
      <c r="J7" s="19">
        <f>COUNTIFS(Checklist!$B$4:$B$130,$A7,Checklist!$K$4:$K$130,"N/A")</f>
        <v>0</v>
      </c>
      <c r="K7" s="19">
        <f t="shared" si="0"/>
        <v>0</v>
      </c>
      <c r="L7" s="19">
        <f>COUNTIFS(Checklist!$B$4:$B$130,$A7,Checklist!$J$4:$J$130,"&lt;&gt;Yes",Checklist!$K$4:$K$130,"&lt;&gt;Pass",Checklist!$K$4:$K$130,"&lt;&gt;N/A")</f>
        <v>0</v>
      </c>
      <c r="M7" s="23">
        <f t="shared" si="1"/>
        <v>1</v>
      </c>
      <c r="N7" s="19" t="str">
        <f t="shared" si="2"/>
        <v>Pass</v>
      </c>
    </row>
    <row r="8" spans="1:14" ht="15.95" customHeight="1" x14ac:dyDescent="0.15">
      <c r="A8" s="18" t="s">
        <v>136</v>
      </c>
      <c r="B8" s="20" t="s">
        <v>137</v>
      </c>
      <c r="C8" s="20" t="s">
        <v>127</v>
      </c>
      <c r="D8" s="19" t="s">
        <v>96</v>
      </c>
      <c r="E8" s="19">
        <f>COUNTIF(Checklist!$B$4:$B$130,$A8)</f>
        <v>2</v>
      </c>
      <c r="F8" s="19">
        <f>COUNTIFS(Checklist!$B$4:$B$130,$A8,Checklist!$J$4:$J$130,"&lt;&gt;Yes")</f>
        <v>2</v>
      </c>
      <c r="G8" s="19">
        <f>COUNTIFS(Checklist!$B$4:$B$130,$A8,Checklist!$K$4:$K$130,"Pass")</f>
        <v>2</v>
      </c>
      <c r="H8" s="19">
        <f>COUNTIFS(Checklist!$B$4:$B$130,$A8,Checklist!$K$4:$K$130,"Fail")</f>
        <v>0</v>
      </c>
      <c r="I8" s="19">
        <f>COUNTIFS(Checklist!$B$4:$B$130,$A8,Checklist!$K$4:$K$130,"Blocked")</f>
        <v>0</v>
      </c>
      <c r="J8" s="19">
        <f>COUNTIFS(Checklist!$B$4:$B$130,$A8,Checklist!$K$4:$K$130,"N/A")</f>
        <v>0</v>
      </c>
      <c r="K8" s="19">
        <f t="shared" si="0"/>
        <v>0</v>
      </c>
      <c r="L8" s="19">
        <f>COUNTIFS(Checklist!$B$4:$B$130,$A8,Checklist!$J$4:$J$130,"&lt;&gt;Yes",Checklist!$K$4:$K$130,"&lt;&gt;Pass",Checklist!$K$4:$K$130,"&lt;&gt;N/A")</f>
        <v>0</v>
      </c>
      <c r="M8" s="23">
        <f t="shared" si="1"/>
        <v>1</v>
      </c>
      <c r="N8" s="19" t="str">
        <f t="shared" si="2"/>
        <v>Pass</v>
      </c>
    </row>
    <row r="9" spans="1:14" ht="15.95" customHeight="1" x14ac:dyDescent="0.15">
      <c r="A9" s="18" t="s">
        <v>144</v>
      </c>
      <c r="B9" s="20" t="s">
        <v>145</v>
      </c>
      <c r="C9" s="20" t="s">
        <v>146</v>
      </c>
      <c r="D9" s="19" t="s">
        <v>96</v>
      </c>
      <c r="E9" s="19">
        <f>COUNTIF(Checklist!$B$4:$B$130,$A9)</f>
        <v>4</v>
      </c>
      <c r="F9" s="19">
        <f>COUNTIFS(Checklist!$B$4:$B$130,$A9,Checklist!$J$4:$J$130,"&lt;&gt;Yes")</f>
        <v>4</v>
      </c>
      <c r="G9" s="19">
        <f>COUNTIFS(Checklist!$B$4:$B$130,$A9,Checklist!$K$4:$K$130,"Pass")</f>
        <v>4</v>
      </c>
      <c r="H9" s="19">
        <f>COUNTIFS(Checklist!$B$4:$B$130,$A9,Checklist!$K$4:$K$130,"Fail")</f>
        <v>0</v>
      </c>
      <c r="I9" s="19">
        <f>COUNTIFS(Checklist!$B$4:$B$130,$A9,Checklist!$K$4:$K$130,"Blocked")</f>
        <v>0</v>
      </c>
      <c r="J9" s="19">
        <f>COUNTIFS(Checklist!$B$4:$B$130,$A9,Checklist!$K$4:$K$130,"N/A")</f>
        <v>0</v>
      </c>
      <c r="K9" s="19">
        <f t="shared" si="0"/>
        <v>0</v>
      </c>
      <c r="L9" s="19">
        <f>COUNTIFS(Checklist!$B$4:$B$130,$A9,Checklist!$J$4:$J$130,"&lt;&gt;Yes",Checklist!$K$4:$K$130,"&lt;&gt;Pass",Checklist!$K$4:$K$130,"&lt;&gt;N/A")</f>
        <v>0</v>
      </c>
      <c r="M9" s="23">
        <f t="shared" si="1"/>
        <v>1</v>
      </c>
      <c r="N9" s="19" t="str">
        <f t="shared" si="2"/>
        <v>Pass</v>
      </c>
    </row>
    <row r="10" spans="1:14" ht="15.95" customHeight="1" x14ac:dyDescent="0.15">
      <c r="A10" s="18" t="s">
        <v>156</v>
      </c>
      <c r="B10" s="20" t="s">
        <v>157</v>
      </c>
      <c r="C10" s="20" t="s">
        <v>127</v>
      </c>
      <c r="D10" s="19" t="s">
        <v>96</v>
      </c>
      <c r="E10" s="19">
        <f>COUNTIF(Checklist!$B$4:$B$130,$A10)</f>
        <v>2</v>
      </c>
      <c r="F10" s="19">
        <f>COUNTIFS(Checklist!$B$4:$B$130,$A10,Checklist!$J$4:$J$130,"&lt;&gt;Yes")</f>
        <v>2</v>
      </c>
      <c r="G10" s="19">
        <f>COUNTIFS(Checklist!$B$4:$B$130,$A10,Checklist!$K$4:$K$130,"Pass")</f>
        <v>2</v>
      </c>
      <c r="H10" s="19">
        <f>COUNTIFS(Checklist!$B$4:$B$130,$A10,Checklist!$K$4:$K$130,"Fail")</f>
        <v>0</v>
      </c>
      <c r="I10" s="19">
        <f>COUNTIFS(Checklist!$B$4:$B$130,$A10,Checklist!$K$4:$K$130,"Blocked")</f>
        <v>0</v>
      </c>
      <c r="J10" s="19">
        <f>COUNTIFS(Checklist!$B$4:$B$130,$A10,Checklist!$K$4:$K$130,"N/A")</f>
        <v>0</v>
      </c>
      <c r="K10" s="19">
        <f t="shared" si="0"/>
        <v>0</v>
      </c>
      <c r="L10" s="19">
        <f>COUNTIFS(Checklist!$B$4:$B$130,$A10,Checklist!$J$4:$J$130,"&lt;&gt;Yes",Checklist!$K$4:$K$130,"&lt;&gt;Pass",Checklist!$K$4:$K$130,"&lt;&gt;N/A")</f>
        <v>0</v>
      </c>
      <c r="M10" s="23">
        <f t="shared" si="1"/>
        <v>1</v>
      </c>
      <c r="N10" s="19" t="str">
        <f t="shared" si="2"/>
        <v>Pass</v>
      </c>
    </row>
    <row r="11" spans="1:14" ht="15.95" customHeight="1" x14ac:dyDescent="0.15">
      <c r="A11" s="18" t="s">
        <v>163</v>
      </c>
      <c r="B11" s="20" t="s">
        <v>164</v>
      </c>
      <c r="C11" s="20" t="s">
        <v>165</v>
      </c>
      <c r="D11" s="19" t="s">
        <v>96</v>
      </c>
      <c r="E11" s="19">
        <f>COUNTIF(Checklist!$B$4:$B$130,$A11)</f>
        <v>3</v>
      </c>
      <c r="F11" s="19">
        <f>COUNTIFS(Checklist!$B$4:$B$130,$A11,Checklist!$J$4:$J$130,"&lt;&gt;Yes")</f>
        <v>3</v>
      </c>
      <c r="G11" s="19">
        <f>COUNTIFS(Checklist!$B$4:$B$130,$A11,Checklist!$K$4:$K$130,"Pass")</f>
        <v>3</v>
      </c>
      <c r="H11" s="19">
        <f>COUNTIFS(Checklist!$B$4:$B$130,$A11,Checklist!$K$4:$K$130,"Fail")</f>
        <v>0</v>
      </c>
      <c r="I11" s="19">
        <f>COUNTIFS(Checklist!$B$4:$B$130,$A11,Checklist!$K$4:$K$130,"Blocked")</f>
        <v>0</v>
      </c>
      <c r="J11" s="19">
        <f>COUNTIFS(Checklist!$B$4:$B$130,$A11,Checklist!$K$4:$K$130,"N/A")</f>
        <v>0</v>
      </c>
      <c r="K11" s="19">
        <f t="shared" si="0"/>
        <v>0</v>
      </c>
      <c r="L11" s="19">
        <f>COUNTIFS(Checklist!$B$4:$B$130,$A11,Checklist!$J$4:$J$130,"&lt;&gt;Yes",Checklist!$K$4:$K$130,"&lt;&gt;Pass",Checklist!$K$4:$K$130,"&lt;&gt;N/A")</f>
        <v>0</v>
      </c>
      <c r="M11" s="23">
        <f t="shared" si="1"/>
        <v>1</v>
      </c>
      <c r="N11" s="19" t="str">
        <f t="shared" si="2"/>
        <v>Pass</v>
      </c>
    </row>
    <row r="12" spans="1:14" ht="15.95" customHeight="1" x14ac:dyDescent="0.15">
      <c r="A12" s="18" t="s">
        <v>174</v>
      </c>
      <c r="B12" s="20" t="s">
        <v>175</v>
      </c>
      <c r="C12" s="20" t="s">
        <v>176</v>
      </c>
      <c r="D12" s="19" t="s">
        <v>96</v>
      </c>
      <c r="E12" s="19">
        <f>COUNTIF(Checklist!$B$4:$B$130,$A12)</f>
        <v>5</v>
      </c>
      <c r="F12" s="19">
        <f>COUNTIFS(Checklist!$B$4:$B$130,$A12,Checklist!$J$4:$J$130,"&lt;&gt;Yes")</f>
        <v>5</v>
      </c>
      <c r="G12" s="19">
        <f>COUNTIFS(Checklist!$B$4:$B$130,$A12,Checklist!$K$4:$K$130,"Pass")</f>
        <v>5</v>
      </c>
      <c r="H12" s="19">
        <f>COUNTIFS(Checklist!$B$4:$B$130,$A12,Checklist!$K$4:$K$130,"Fail")</f>
        <v>0</v>
      </c>
      <c r="I12" s="19">
        <f>COUNTIFS(Checklist!$B$4:$B$130,$A12,Checklist!$K$4:$K$130,"Blocked")</f>
        <v>0</v>
      </c>
      <c r="J12" s="19">
        <f>COUNTIFS(Checklist!$B$4:$B$130,$A12,Checklist!$K$4:$K$130,"N/A")</f>
        <v>0</v>
      </c>
      <c r="K12" s="19">
        <f t="shared" si="0"/>
        <v>0</v>
      </c>
      <c r="L12" s="19">
        <f>COUNTIFS(Checklist!$B$4:$B$130,$A12,Checklist!$J$4:$J$130,"&lt;&gt;Yes",Checklist!$K$4:$K$130,"&lt;&gt;Pass",Checklist!$K$4:$K$130,"&lt;&gt;N/A")</f>
        <v>0</v>
      </c>
      <c r="M12" s="23">
        <f t="shared" si="1"/>
        <v>1</v>
      </c>
      <c r="N12" s="19" t="str">
        <f t="shared" si="2"/>
        <v>Pass</v>
      </c>
    </row>
    <row r="13" spans="1:14" ht="15.95" customHeight="1" x14ac:dyDescent="0.15">
      <c r="A13" s="18" t="s">
        <v>189</v>
      </c>
      <c r="B13" s="20" t="s">
        <v>190</v>
      </c>
      <c r="C13" s="20" t="s">
        <v>176</v>
      </c>
      <c r="D13" s="19" t="s">
        <v>96</v>
      </c>
      <c r="E13" s="19">
        <f>COUNTIF(Checklist!$B$4:$B$130,$A13)</f>
        <v>2</v>
      </c>
      <c r="F13" s="19">
        <f>COUNTIFS(Checklist!$B$4:$B$130,$A13,Checklist!$J$4:$J$130,"&lt;&gt;Yes")</f>
        <v>2</v>
      </c>
      <c r="G13" s="19">
        <f>COUNTIFS(Checklist!$B$4:$B$130,$A13,Checklist!$K$4:$K$130,"Pass")</f>
        <v>2</v>
      </c>
      <c r="H13" s="19">
        <f>COUNTIFS(Checklist!$B$4:$B$130,$A13,Checklist!$K$4:$K$130,"Fail")</f>
        <v>0</v>
      </c>
      <c r="I13" s="19">
        <f>COUNTIFS(Checklist!$B$4:$B$130,$A13,Checklist!$K$4:$K$130,"Blocked")</f>
        <v>0</v>
      </c>
      <c r="J13" s="19">
        <f>COUNTIFS(Checklist!$B$4:$B$130,$A13,Checklist!$K$4:$K$130,"N/A")</f>
        <v>0</v>
      </c>
      <c r="K13" s="19">
        <f t="shared" si="0"/>
        <v>0</v>
      </c>
      <c r="L13" s="19">
        <f>COUNTIFS(Checklist!$B$4:$B$130,$A13,Checklist!$J$4:$J$130,"&lt;&gt;Yes",Checklist!$K$4:$K$130,"&lt;&gt;Pass",Checklist!$K$4:$K$130,"&lt;&gt;N/A")</f>
        <v>0</v>
      </c>
      <c r="M13" s="23">
        <f t="shared" si="1"/>
        <v>1</v>
      </c>
      <c r="N13" s="19" t="str">
        <f t="shared" si="2"/>
        <v>Pass</v>
      </c>
    </row>
    <row r="14" spans="1:14" ht="15.95" customHeight="1" x14ac:dyDescent="0.15">
      <c r="A14" s="18" t="s">
        <v>197</v>
      </c>
      <c r="B14" s="20" t="s">
        <v>198</v>
      </c>
      <c r="C14" s="20" t="s">
        <v>199</v>
      </c>
      <c r="D14" s="19" t="s">
        <v>96</v>
      </c>
      <c r="E14" s="19">
        <f>COUNTIF(Checklist!$B$4:$B$130,$A14)</f>
        <v>3</v>
      </c>
      <c r="F14" s="19">
        <f>COUNTIFS(Checklist!$B$4:$B$130,$A14,Checklist!$J$4:$J$130,"&lt;&gt;Yes")</f>
        <v>3</v>
      </c>
      <c r="G14" s="19">
        <f>COUNTIFS(Checklist!$B$4:$B$130,$A14,Checklist!$K$4:$K$130,"Pass")</f>
        <v>3</v>
      </c>
      <c r="H14" s="19">
        <f>COUNTIFS(Checklist!$B$4:$B$130,$A14,Checklist!$K$4:$K$130,"Fail")</f>
        <v>0</v>
      </c>
      <c r="I14" s="19">
        <f>COUNTIFS(Checklist!$B$4:$B$130,$A14,Checklist!$K$4:$K$130,"Blocked")</f>
        <v>0</v>
      </c>
      <c r="J14" s="19">
        <f>COUNTIFS(Checklist!$B$4:$B$130,$A14,Checklist!$K$4:$K$130,"N/A")</f>
        <v>0</v>
      </c>
      <c r="K14" s="19">
        <f t="shared" si="0"/>
        <v>0</v>
      </c>
      <c r="L14" s="19">
        <f>COUNTIFS(Checklist!$B$4:$B$130,$A14,Checklist!$J$4:$J$130,"&lt;&gt;Yes",Checklist!$K$4:$K$130,"&lt;&gt;Pass",Checklist!$K$4:$K$130,"&lt;&gt;N/A")</f>
        <v>0</v>
      </c>
      <c r="M14" s="23">
        <f t="shared" si="1"/>
        <v>1</v>
      </c>
      <c r="N14" s="19" t="str">
        <f t="shared" si="2"/>
        <v>Pass</v>
      </c>
    </row>
    <row r="15" spans="1:14" ht="15.95" customHeight="1" x14ac:dyDescent="0.15">
      <c r="A15" s="18" t="s">
        <v>207</v>
      </c>
      <c r="B15" s="20" t="s">
        <v>208</v>
      </c>
      <c r="C15" s="20" t="s">
        <v>209</v>
      </c>
      <c r="D15" s="19" t="s">
        <v>96</v>
      </c>
      <c r="E15" s="19">
        <f>COUNTIF(Checklist!$B$4:$B$130,$A15)</f>
        <v>7</v>
      </c>
      <c r="F15" s="19">
        <f>COUNTIFS(Checklist!$B$4:$B$130,$A15,Checklist!$J$4:$J$130,"&lt;&gt;Yes")</f>
        <v>7</v>
      </c>
      <c r="G15" s="19">
        <f>COUNTIFS(Checklist!$B$4:$B$130,$A15,Checklist!$K$4:$K$130,"Pass")</f>
        <v>7</v>
      </c>
      <c r="H15" s="19">
        <f>COUNTIFS(Checklist!$B$4:$B$130,$A15,Checklist!$K$4:$K$130,"Fail")</f>
        <v>0</v>
      </c>
      <c r="I15" s="19">
        <f>COUNTIFS(Checklist!$B$4:$B$130,$A15,Checklist!$K$4:$K$130,"Blocked")</f>
        <v>0</v>
      </c>
      <c r="J15" s="19">
        <f>COUNTIFS(Checklist!$B$4:$B$130,$A15,Checklist!$K$4:$K$130,"N/A")</f>
        <v>0</v>
      </c>
      <c r="K15" s="19">
        <f t="shared" si="0"/>
        <v>0</v>
      </c>
      <c r="L15" s="19">
        <f>COUNTIFS(Checklist!$B$4:$B$130,$A15,Checklist!$J$4:$J$130,"&lt;&gt;Yes",Checklist!$K$4:$K$130,"&lt;&gt;Pass",Checklist!$K$4:$K$130,"&lt;&gt;N/A")</f>
        <v>0</v>
      </c>
      <c r="M15" s="23">
        <f t="shared" si="1"/>
        <v>1</v>
      </c>
      <c r="N15" s="19" t="str">
        <f t="shared" si="2"/>
        <v>Pass</v>
      </c>
    </row>
    <row r="16" spans="1:14" ht="15.95" customHeight="1" x14ac:dyDescent="0.15">
      <c r="A16" s="18" t="s">
        <v>229</v>
      </c>
      <c r="B16" s="20" t="s">
        <v>230</v>
      </c>
      <c r="C16" s="20" t="s">
        <v>231</v>
      </c>
      <c r="D16" s="19" t="s">
        <v>96</v>
      </c>
      <c r="E16" s="19">
        <f>COUNTIF(Checklist!$B$4:$B$130,$A16)</f>
        <v>2</v>
      </c>
      <c r="F16" s="19">
        <f>COUNTIFS(Checklist!$B$4:$B$130,$A16,Checklist!$J$4:$J$130,"&lt;&gt;Yes")</f>
        <v>2</v>
      </c>
      <c r="G16" s="19">
        <f>COUNTIFS(Checklist!$B$4:$B$130,$A16,Checklist!$K$4:$K$130,"Pass")</f>
        <v>2</v>
      </c>
      <c r="H16" s="19">
        <f>COUNTIFS(Checklist!$B$4:$B$130,$A16,Checklist!$K$4:$K$130,"Fail")</f>
        <v>0</v>
      </c>
      <c r="I16" s="19">
        <f>COUNTIFS(Checklist!$B$4:$B$130,$A16,Checklist!$K$4:$K$130,"Blocked")</f>
        <v>0</v>
      </c>
      <c r="J16" s="19">
        <f>COUNTIFS(Checklist!$B$4:$B$130,$A16,Checklist!$K$4:$K$130,"N/A")</f>
        <v>0</v>
      </c>
      <c r="K16" s="19">
        <f t="shared" si="0"/>
        <v>0</v>
      </c>
      <c r="L16" s="19">
        <f>COUNTIFS(Checklist!$B$4:$B$130,$A16,Checklist!$J$4:$J$130,"&lt;&gt;Yes",Checklist!$K$4:$K$130,"&lt;&gt;Pass",Checklist!$K$4:$K$130,"&lt;&gt;N/A")</f>
        <v>0</v>
      </c>
      <c r="M16" s="23">
        <f t="shared" si="1"/>
        <v>1</v>
      </c>
      <c r="N16" s="19" t="str">
        <f t="shared" si="2"/>
        <v>Pass</v>
      </c>
    </row>
    <row r="17" spans="1:14" ht="27.95" customHeight="1" x14ac:dyDescent="0.15">
      <c r="A17" s="18" t="s">
        <v>237</v>
      </c>
      <c r="B17" s="20" t="s">
        <v>238</v>
      </c>
      <c r="C17" s="20" t="s">
        <v>239</v>
      </c>
      <c r="D17" s="19" t="s">
        <v>96</v>
      </c>
      <c r="E17" s="19">
        <f>COUNTIF(Checklist!$B$4:$B$130,$A17)</f>
        <v>1</v>
      </c>
      <c r="F17" s="19">
        <f>COUNTIFS(Checklist!$B$4:$B$130,$A17,Checklist!$J$4:$J$130,"&lt;&gt;Yes")</f>
        <v>1</v>
      </c>
      <c r="G17" s="19">
        <f>COUNTIFS(Checklist!$B$4:$B$130,$A17,Checklist!$K$4:$K$130,"Pass")</f>
        <v>1</v>
      </c>
      <c r="H17" s="19">
        <f>COUNTIFS(Checklist!$B$4:$B$130,$A17,Checklist!$K$4:$K$130,"Fail")</f>
        <v>0</v>
      </c>
      <c r="I17" s="19">
        <f>COUNTIFS(Checklist!$B$4:$B$130,$A17,Checklist!$K$4:$K$130,"Blocked")</f>
        <v>0</v>
      </c>
      <c r="J17" s="19">
        <f>COUNTIFS(Checklist!$B$4:$B$130,$A17,Checklist!$K$4:$K$130,"N/A")</f>
        <v>0</v>
      </c>
      <c r="K17" s="19">
        <f t="shared" si="0"/>
        <v>0</v>
      </c>
      <c r="L17" s="19">
        <f>COUNTIFS(Checklist!$B$4:$B$130,$A17,Checklist!$J$4:$J$130,"&lt;&gt;Yes",Checklist!$K$4:$K$130,"&lt;&gt;Pass",Checklist!$K$4:$K$130,"&lt;&gt;N/A")</f>
        <v>0</v>
      </c>
      <c r="M17" s="23">
        <f t="shared" si="1"/>
        <v>1</v>
      </c>
      <c r="N17" s="19" t="str">
        <f t="shared" si="2"/>
        <v>Pass</v>
      </c>
    </row>
    <row r="18" spans="1:14" ht="15.95" customHeight="1" x14ac:dyDescent="0.15">
      <c r="A18" s="18" t="s">
        <v>244</v>
      </c>
      <c r="B18" s="20" t="s">
        <v>245</v>
      </c>
      <c r="C18" s="20" t="s">
        <v>246</v>
      </c>
      <c r="D18" s="19" t="s">
        <v>247</v>
      </c>
      <c r="E18" s="19">
        <f>COUNTIF(Checklist!$B$4:$B$130,$A18)</f>
        <v>4</v>
      </c>
      <c r="F18" s="19">
        <f>COUNTIFS(Checklist!$B$4:$B$130,$A18,Checklist!$J$4:$J$130,"&lt;&gt;Yes")</f>
        <v>4</v>
      </c>
      <c r="G18" s="19">
        <f>COUNTIFS(Checklist!$B$4:$B$130,$A18,Checklist!$K$4:$K$130,"Pass")</f>
        <v>4</v>
      </c>
      <c r="H18" s="19">
        <f>COUNTIFS(Checklist!$B$4:$B$130,$A18,Checklist!$K$4:$K$130,"Fail")</f>
        <v>0</v>
      </c>
      <c r="I18" s="19">
        <f>COUNTIFS(Checklist!$B$4:$B$130,$A18,Checklist!$K$4:$K$130,"Blocked")</f>
        <v>0</v>
      </c>
      <c r="J18" s="19">
        <f>COUNTIFS(Checklist!$B$4:$B$130,$A18,Checklist!$K$4:$K$130,"N/A")</f>
        <v>0</v>
      </c>
      <c r="K18" s="19">
        <f t="shared" si="0"/>
        <v>0</v>
      </c>
      <c r="L18" s="19">
        <f>COUNTIFS(Checklist!$B$4:$B$130,$A18,Checklist!$J$4:$J$130,"&lt;&gt;Yes",Checklist!$K$4:$K$130,"&lt;&gt;Pass",Checklist!$K$4:$K$130,"&lt;&gt;N/A")</f>
        <v>0</v>
      </c>
      <c r="M18" s="23">
        <f t="shared" si="1"/>
        <v>1</v>
      </c>
      <c r="N18" s="19" t="str">
        <f t="shared" si="2"/>
        <v>Pass</v>
      </c>
    </row>
    <row r="19" spans="1:14" ht="15.95" customHeight="1" x14ac:dyDescent="0.15">
      <c r="A19" s="18" t="s">
        <v>261</v>
      </c>
      <c r="B19" s="20" t="s">
        <v>262</v>
      </c>
      <c r="C19" s="20" t="s">
        <v>263</v>
      </c>
      <c r="D19" s="19" t="s">
        <v>247</v>
      </c>
      <c r="E19" s="19">
        <f>COUNTIF(Checklist!$B$4:$B$130,$A19)</f>
        <v>2</v>
      </c>
      <c r="F19" s="19">
        <f>COUNTIFS(Checklist!$B$4:$B$130,$A19,Checklist!$J$4:$J$130,"&lt;&gt;Yes")</f>
        <v>2</v>
      </c>
      <c r="G19" s="19">
        <f>COUNTIFS(Checklist!$B$4:$B$130,$A19,Checklist!$K$4:$K$130,"Pass")</f>
        <v>2</v>
      </c>
      <c r="H19" s="19">
        <f>COUNTIFS(Checklist!$B$4:$B$130,$A19,Checklist!$K$4:$K$130,"Fail")</f>
        <v>0</v>
      </c>
      <c r="I19" s="19">
        <f>COUNTIFS(Checklist!$B$4:$B$130,$A19,Checklist!$K$4:$K$130,"Blocked")</f>
        <v>0</v>
      </c>
      <c r="J19" s="19">
        <f>COUNTIFS(Checklist!$B$4:$B$130,$A19,Checklist!$K$4:$K$130,"N/A")</f>
        <v>0</v>
      </c>
      <c r="K19" s="19">
        <f t="shared" si="0"/>
        <v>0</v>
      </c>
      <c r="L19" s="19">
        <f>COUNTIFS(Checklist!$B$4:$B$130,$A19,Checklist!$J$4:$J$130,"&lt;&gt;Yes",Checklist!$K$4:$K$130,"&lt;&gt;Pass",Checklist!$K$4:$K$130,"&lt;&gt;N/A")</f>
        <v>0</v>
      </c>
      <c r="M19" s="23">
        <f t="shared" si="1"/>
        <v>1</v>
      </c>
      <c r="N19" s="19" t="str">
        <f t="shared" si="2"/>
        <v>Pass</v>
      </c>
    </row>
    <row r="20" spans="1:14" ht="15.95" customHeight="1" x14ac:dyDescent="0.15">
      <c r="A20" s="18" t="s">
        <v>270</v>
      </c>
      <c r="B20" s="20" t="s">
        <v>271</v>
      </c>
      <c r="C20" s="20" t="s">
        <v>272</v>
      </c>
      <c r="D20" s="19" t="s">
        <v>247</v>
      </c>
      <c r="E20" s="19">
        <f>COUNTIF(Checklist!$B$4:$B$130,$A20)</f>
        <v>4</v>
      </c>
      <c r="F20" s="19">
        <f>COUNTIFS(Checklist!$B$4:$B$130,$A20,Checklist!$J$4:$J$130,"&lt;&gt;Yes")</f>
        <v>4</v>
      </c>
      <c r="G20" s="19">
        <f>COUNTIFS(Checklist!$B$4:$B$130,$A20,Checklist!$K$4:$K$130,"Pass")</f>
        <v>4</v>
      </c>
      <c r="H20" s="19">
        <f>COUNTIFS(Checklist!$B$4:$B$130,$A20,Checklist!$K$4:$K$130,"Fail")</f>
        <v>0</v>
      </c>
      <c r="I20" s="19">
        <f>COUNTIFS(Checklist!$B$4:$B$130,$A20,Checklist!$K$4:$K$130,"Blocked")</f>
        <v>0</v>
      </c>
      <c r="J20" s="19">
        <f>COUNTIFS(Checklist!$B$4:$B$130,$A20,Checklist!$K$4:$K$130,"N/A")</f>
        <v>0</v>
      </c>
      <c r="K20" s="19">
        <f t="shared" si="0"/>
        <v>0</v>
      </c>
      <c r="L20" s="19">
        <f>COUNTIFS(Checklist!$B$4:$B$130,$A20,Checklist!$J$4:$J$130,"&lt;&gt;Yes",Checklist!$K$4:$K$130,"&lt;&gt;Pass",Checklist!$K$4:$K$130,"&lt;&gt;N/A")</f>
        <v>0</v>
      </c>
      <c r="M20" s="23">
        <f t="shared" si="1"/>
        <v>1</v>
      </c>
      <c r="N20" s="19" t="str">
        <f t="shared" si="2"/>
        <v>Pass</v>
      </c>
    </row>
    <row r="21" spans="1:14" ht="15.95" customHeight="1" x14ac:dyDescent="0.15">
      <c r="A21" s="18" t="s">
        <v>284</v>
      </c>
      <c r="B21" s="20" t="s">
        <v>285</v>
      </c>
      <c r="C21" s="20" t="s">
        <v>286</v>
      </c>
      <c r="D21" s="19" t="s">
        <v>247</v>
      </c>
      <c r="E21" s="19">
        <f>COUNTIF(Checklist!$B$4:$B$130,$A21)</f>
        <v>3</v>
      </c>
      <c r="F21" s="19">
        <f>COUNTIFS(Checklist!$B$4:$B$130,$A21,Checklist!$J$4:$J$130,"&lt;&gt;Yes")</f>
        <v>3</v>
      </c>
      <c r="G21" s="19">
        <f>COUNTIFS(Checklist!$B$4:$B$130,$A21,Checklist!$K$4:$K$130,"Pass")</f>
        <v>3</v>
      </c>
      <c r="H21" s="19">
        <f>COUNTIFS(Checklist!$B$4:$B$130,$A21,Checklist!$K$4:$K$130,"Fail")</f>
        <v>0</v>
      </c>
      <c r="I21" s="19">
        <f>COUNTIFS(Checklist!$B$4:$B$130,$A21,Checklist!$K$4:$K$130,"Blocked")</f>
        <v>0</v>
      </c>
      <c r="J21" s="19">
        <f>COUNTIFS(Checklist!$B$4:$B$130,$A21,Checklist!$K$4:$K$130,"N/A")</f>
        <v>0</v>
      </c>
      <c r="K21" s="19">
        <f t="shared" si="0"/>
        <v>0</v>
      </c>
      <c r="L21" s="19">
        <f>COUNTIFS(Checklist!$B$4:$B$130,$A21,Checklist!$J$4:$J$130,"&lt;&gt;Yes",Checklist!$K$4:$K$130,"&lt;&gt;Pass",Checklist!$K$4:$K$130,"&lt;&gt;N/A")</f>
        <v>0</v>
      </c>
      <c r="M21" s="23">
        <f t="shared" si="1"/>
        <v>1</v>
      </c>
      <c r="N21" s="19" t="str">
        <f t="shared" si="2"/>
        <v>Pass</v>
      </c>
    </row>
    <row r="22" spans="1:14" ht="15.95" customHeight="1" x14ac:dyDescent="0.15">
      <c r="A22" s="18" t="s">
        <v>295</v>
      </c>
      <c r="B22" s="20" t="s">
        <v>296</v>
      </c>
      <c r="C22" s="20" t="s">
        <v>297</v>
      </c>
      <c r="D22" s="19" t="s">
        <v>247</v>
      </c>
      <c r="E22" s="19">
        <f>COUNTIF(Checklist!$B$4:$B$130,$A22)</f>
        <v>5</v>
      </c>
      <c r="F22" s="19">
        <f>COUNTIFS(Checklist!$B$4:$B$130,$A22,Checklist!$J$4:$J$130,"&lt;&gt;Yes")</f>
        <v>5</v>
      </c>
      <c r="G22" s="19">
        <f>COUNTIFS(Checklist!$B$4:$B$130,$A22,Checklist!$K$4:$K$130,"Pass")</f>
        <v>5</v>
      </c>
      <c r="H22" s="19">
        <f>COUNTIFS(Checklist!$B$4:$B$130,$A22,Checklist!$K$4:$K$130,"Fail")</f>
        <v>0</v>
      </c>
      <c r="I22" s="19">
        <f>COUNTIFS(Checklist!$B$4:$B$130,$A22,Checklist!$K$4:$K$130,"Blocked")</f>
        <v>0</v>
      </c>
      <c r="J22" s="19">
        <f>COUNTIFS(Checklist!$B$4:$B$130,$A22,Checklist!$K$4:$K$130,"N/A")</f>
        <v>0</v>
      </c>
      <c r="K22" s="19">
        <f t="shared" si="0"/>
        <v>0</v>
      </c>
      <c r="L22" s="19">
        <f>COUNTIFS(Checklist!$B$4:$B$130,$A22,Checklist!$J$4:$J$130,"&lt;&gt;Yes",Checklist!$K$4:$K$130,"&lt;&gt;Pass",Checklist!$K$4:$K$130,"&lt;&gt;N/A")</f>
        <v>0</v>
      </c>
      <c r="M22" s="23">
        <f t="shared" si="1"/>
        <v>1</v>
      </c>
      <c r="N22" s="19" t="str">
        <f t="shared" si="2"/>
        <v>Pass</v>
      </c>
    </row>
    <row r="23" spans="1:14" ht="15.95" customHeight="1" x14ac:dyDescent="0.15">
      <c r="A23" s="18" t="s">
        <v>313</v>
      </c>
      <c r="B23" s="20" t="s">
        <v>314</v>
      </c>
      <c r="C23" s="20" t="s">
        <v>315</v>
      </c>
      <c r="D23" s="19" t="s">
        <v>247</v>
      </c>
      <c r="E23" s="19">
        <f>COUNTIF(Checklist!$B$4:$B$130,$A23)</f>
        <v>5</v>
      </c>
      <c r="F23" s="19">
        <f>COUNTIFS(Checklist!$B$4:$B$130,$A23,Checklist!$J$4:$J$130,"&lt;&gt;Yes")</f>
        <v>5</v>
      </c>
      <c r="G23" s="19">
        <f>COUNTIFS(Checklist!$B$4:$B$130,$A23,Checklist!$K$4:$K$130,"Pass")</f>
        <v>5</v>
      </c>
      <c r="H23" s="19">
        <f>COUNTIFS(Checklist!$B$4:$B$130,$A23,Checklist!$K$4:$K$130,"Fail")</f>
        <v>0</v>
      </c>
      <c r="I23" s="19">
        <f>COUNTIFS(Checklist!$B$4:$B$130,$A23,Checklist!$K$4:$K$130,"Blocked")</f>
        <v>0</v>
      </c>
      <c r="J23" s="19">
        <f>COUNTIFS(Checklist!$B$4:$B$130,$A23,Checklist!$K$4:$K$130,"N/A")</f>
        <v>0</v>
      </c>
      <c r="K23" s="19">
        <f t="shared" si="0"/>
        <v>0</v>
      </c>
      <c r="L23" s="19">
        <f>COUNTIFS(Checklist!$B$4:$B$130,$A23,Checklist!$J$4:$J$130,"&lt;&gt;Yes",Checklist!$K$4:$K$130,"&lt;&gt;Pass",Checklist!$K$4:$K$130,"&lt;&gt;N/A")</f>
        <v>0</v>
      </c>
      <c r="M23" s="23">
        <f t="shared" si="1"/>
        <v>1</v>
      </c>
      <c r="N23" s="19" t="str">
        <f t="shared" si="2"/>
        <v>Pass</v>
      </c>
    </row>
    <row r="24" spans="1:14" ht="15.95" customHeight="1" x14ac:dyDescent="0.15">
      <c r="A24" s="18" t="s">
        <v>332</v>
      </c>
      <c r="B24" s="20" t="s">
        <v>333</v>
      </c>
      <c r="C24" s="20" t="s">
        <v>334</v>
      </c>
      <c r="D24" s="19" t="s">
        <v>247</v>
      </c>
      <c r="E24" s="19">
        <f>COUNTIF(Checklist!$B$4:$B$130,$A24)</f>
        <v>5</v>
      </c>
      <c r="F24" s="19">
        <f>COUNTIFS(Checklist!$B$4:$B$130,$A24,Checklist!$J$4:$J$130,"&lt;&gt;Yes")</f>
        <v>5</v>
      </c>
      <c r="G24" s="19">
        <f>COUNTIFS(Checklist!$B$4:$B$130,$A24,Checklist!$K$4:$K$130,"Pass")</f>
        <v>5</v>
      </c>
      <c r="H24" s="19">
        <f>COUNTIFS(Checklist!$B$4:$B$130,$A24,Checklist!$K$4:$K$130,"Fail")</f>
        <v>0</v>
      </c>
      <c r="I24" s="19">
        <f>COUNTIFS(Checklist!$B$4:$B$130,$A24,Checklist!$K$4:$K$130,"Blocked")</f>
        <v>0</v>
      </c>
      <c r="J24" s="19">
        <f>COUNTIFS(Checklist!$B$4:$B$130,$A24,Checklist!$K$4:$K$130,"N/A")</f>
        <v>0</v>
      </c>
      <c r="K24" s="19">
        <f t="shared" si="0"/>
        <v>0</v>
      </c>
      <c r="L24" s="19">
        <f>COUNTIFS(Checklist!$B$4:$B$130,$A24,Checklist!$J$4:$J$130,"&lt;&gt;Yes",Checklist!$K$4:$K$130,"&lt;&gt;Pass",Checklist!$K$4:$K$130,"&lt;&gt;N/A")</f>
        <v>0</v>
      </c>
      <c r="M24" s="23">
        <f t="shared" si="1"/>
        <v>1</v>
      </c>
      <c r="N24" s="19" t="str">
        <f t="shared" si="2"/>
        <v>Pass</v>
      </c>
    </row>
    <row r="25" spans="1:14" ht="15.95" customHeight="1" x14ac:dyDescent="0.15">
      <c r="A25" s="18" t="s">
        <v>350</v>
      </c>
      <c r="B25" s="20" t="s">
        <v>351</v>
      </c>
      <c r="C25" s="20" t="s">
        <v>352</v>
      </c>
      <c r="D25" s="19" t="s">
        <v>247</v>
      </c>
      <c r="E25" s="19">
        <f>COUNTIF(Checklist!$B$4:$B$130,$A25)</f>
        <v>3</v>
      </c>
      <c r="F25" s="19">
        <f>COUNTIFS(Checklist!$B$4:$B$130,$A25,Checklist!$J$4:$J$130,"&lt;&gt;Yes")</f>
        <v>3</v>
      </c>
      <c r="G25" s="19">
        <f>COUNTIFS(Checklist!$B$4:$B$130,$A25,Checklist!$K$4:$K$130,"Pass")</f>
        <v>3</v>
      </c>
      <c r="H25" s="19">
        <f>COUNTIFS(Checklist!$B$4:$B$130,$A25,Checklist!$K$4:$K$130,"Fail")</f>
        <v>0</v>
      </c>
      <c r="I25" s="19">
        <f>COUNTIFS(Checklist!$B$4:$B$130,$A25,Checklist!$K$4:$K$130,"Blocked")</f>
        <v>0</v>
      </c>
      <c r="J25" s="19">
        <f>COUNTIFS(Checklist!$B$4:$B$130,$A25,Checklist!$K$4:$K$130,"N/A")</f>
        <v>0</v>
      </c>
      <c r="K25" s="19">
        <f t="shared" si="0"/>
        <v>0</v>
      </c>
      <c r="L25" s="19">
        <f>COUNTIFS(Checklist!$B$4:$B$130,$A25,Checklist!$J$4:$J$130,"&lt;&gt;Yes",Checklist!$K$4:$K$130,"&lt;&gt;Pass",Checklist!$K$4:$K$130,"&lt;&gt;N/A")</f>
        <v>0</v>
      </c>
      <c r="M25" s="23">
        <f t="shared" si="1"/>
        <v>1</v>
      </c>
      <c r="N25" s="19" t="str">
        <f t="shared" si="2"/>
        <v>Pass</v>
      </c>
    </row>
    <row r="26" spans="1:14" ht="15.95" customHeight="1" x14ac:dyDescent="0.15">
      <c r="A26" s="18" t="s">
        <v>363</v>
      </c>
      <c r="B26" s="20" t="s">
        <v>364</v>
      </c>
      <c r="C26" s="20" t="s">
        <v>365</v>
      </c>
      <c r="D26" s="19" t="s">
        <v>96</v>
      </c>
      <c r="E26" s="19">
        <f>COUNTIF(Checklist!$B$4:$B$130,$A26)</f>
        <v>4</v>
      </c>
      <c r="F26" s="19">
        <f>COUNTIFS(Checklist!$B$4:$B$130,$A26,Checklist!$J$4:$J$130,"&lt;&gt;Yes")</f>
        <v>3</v>
      </c>
      <c r="G26" s="19">
        <f>COUNTIFS(Checklist!$B$4:$B$130,$A26,Checklist!$K$4:$K$130,"Pass")</f>
        <v>4</v>
      </c>
      <c r="H26" s="19">
        <f>COUNTIFS(Checklist!$B$4:$B$130,$A26,Checklist!$K$4:$K$130,"Fail")</f>
        <v>0</v>
      </c>
      <c r="I26" s="19">
        <f>COUNTIFS(Checklist!$B$4:$B$130,$A26,Checklist!$K$4:$K$130,"Blocked")</f>
        <v>0</v>
      </c>
      <c r="J26" s="19">
        <f>COUNTIFS(Checklist!$B$4:$B$130,$A26,Checklist!$K$4:$K$130,"N/A")</f>
        <v>0</v>
      </c>
      <c r="K26" s="19">
        <f t="shared" si="0"/>
        <v>0</v>
      </c>
      <c r="L26" s="19">
        <f>COUNTIFS(Checklist!$B$4:$B$130,$A26,Checklist!$J$4:$J$130,"&lt;&gt;Yes",Checklist!$K$4:$K$130,"&lt;&gt;Pass",Checklist!$K$4:$K$130,"&lt;&gt;N/A")</f>
        <v>0</v>
      </c>
      <c r="M26" s="23">
        <f t="shared" si="1"/>
        <v>1</v>
      </c>
      <c r="N26" s="19" t="str">
        <f t="shared" si="2"/>
        <v>Pass</v>
      </c>
    </row>
    <row r="27" spans="1:14" ht="15.95" customHeight="1" x14ac:dyDescent="0.15">
      <c r="A27" s="18" t="s">
        <v>378</v>
      </c>
      <c r="B27" s="20" t="s">
        <v>379</v>
      </c>
      <c r="C27" s="20" t="s">
        <v>380</v>
      </c>
      <c r="D27" s="19" t="s">
        <v>96</v>
      </c>
      <c r="E27" s="19">
        <f>COUNTIF(Checklist!$B$4:$B$130,$A27)</f>
        <v>2</v>
      </c>
      <c r="F27" s="19">
        <f>COUNTIFS(Checklist!$B$4:$B$130,$A27,Checklist!$J$4:$J$130,"&lt;&gt;Yes")</f>
        <v>2</v>
      </c>
      <c r="G27" s="19">
        <f>COUNTIFS(Checklist!$B$4:$B$130,$A27,Checklist!$K$4:$K$130,"Pass")</f>
        <v>2</v>
      </c>
      <c r="H27" s="19">
        <f>COUNTIFS(Checklist!$B$4:$B$130,$A27,Checklist!$K$4:$K$130,"Fail")</f>
        <v>0</v>
      </c>
      <c r="I27" s="19">
        <f>COUNTIFS(Checklist!$B$4:$B$130,$A27,Checklist!$K$4:$K$130,"Blocked")</f>
        <v>0</v>
      </c>
      <c r="J27" s="19">
        <f>COUNTIFS(Checklist!$B$4:$B$130,$A27,Checklist!$K$4:$K$130,"N/A")</f>
        <v>0</v>
      </c>
      <c r="K27" s="19">
        <f t="shared" si="0"/>
        <v>0</v>
      </c>
      <c r="L27" s="19">
        <f>COUNTIFS(Checklist!$B$4:$B$130,$A27,Checklist!$J$4:$J$130,"&lt;&gt;Yes",Checklist!$K$4:$K$130,"&lt;&gt;Pass",Checklist!$K$4:$K$130,"&lt;&gt;N/A")</f>
        <v>0</v>
      </c>
      <c r="M27" s="23">
        <f t="shared" si="1"/>
        <v>1</v>
      </c>
      <c r="N27" s="19" t="str">
        <f t="shared" si="2"/>
        <v>Pass</v>
      </c>
    </row>
    <row r="28" spans="1:14" ht="15.95" customHeight="1" x14ac:dyDescent="0.15">
      <c r="A28" s="18" t="s">
        <v>387</v>
      </c>
      <c r="B28" s="20" t="s">
        <v>388</v>
      </c>
      <c r="C28" s="20" t="s">
        <v>389</v>
      </c>
      <c r="D28" s="19" t="s">
        <v>96</v>
      </c>
      <c r="E28" s="19">
        <f>COUNTIF(Checklist!$B$4:$B$130,$A28)</f>
        <v>5</v>
      </c>
      <c r="F28" s="19">
        <f>COUNTIFS(Checklist!$B$4:$B$130,$A28,Checklist!$J$4:$J$130,"&lt;&gt;Yes")</f>
        <v>4</v>
      </c>
      <c r="G28" s="19">
        <f>COUNTIFS(Checklist!$B$4:$B$130,$A28,Checklist!$K$4:$K$130,"Pass")</f>
        <v>5</v>
      </c>
      <c r="H28" s="19">
        <f>COUNTIFS(Checklist!$B$4:$B$130,$A28,Checklist!$K$4:$K$130,"Fail")</f>
        <v>0</v>
      </c>
      <c r="I28" s="19">
        <f>COUNTIFS(Checklist!$B$4:$B$130,$A28,Checklist!$K$4:$K$130,"Blocked")</f>
        <v>0</v>
      </c>
      <c r="J28" s="19">
        <f>COUNTIFS(Checklist!$B$4:$B$130,$A28,Checklist!$K$4:$K$130,"N/A")</f>
        <v>0</v>
      </c>
      <c r="K28" s="19">
        <f t="shared" si="0"/>
        <v>0</v>
      </c>
      <c r="L28" s="19">
        <f>COUNTIFS(Checklist!$B$4:$B$130,$A28,Checklist!$J$4:$J$130,"&lt;&gt;Yes",Checklist!$K$4:$K$130,"&lt;&gt;Pass",Checklist!$K$4:$K$130,"&lt;&gt;N/A")</f>
        <v>0</v>
      </c>
      <c r="M28" s="23">
        <f t="shared" si="1"/>
        <v>1</v>
      </c>
      <c r="N28" s="19" t="str">
        <f t="shared" si="2"/>
        <v>Pass</v>
      </c>
    </row>
    <row r="29" spans="1:14" ht="15.95" customHeight="1" x14ac:dyDescent="0.15">
      <c r="A29" s="18" t="s">
        <v>402</v>
      </c>
      <c r="B29" s="20" t="s">
        <v>403</v>
      </c>
      <c r="C29" s="20" t="s">
        <v>404</v>
      </c>
      <c r="D29" s="19" t="s">
        <v>247</v>
      </c>
      <c r="E29" s="19">
        <f>COUNTIF(Checklist!$B$4:$B$130,$A29)</f>
        <v>6</v>
      </c>
      <c r="F29" s="19">
        <f>COUNTIFS(Checklist!$B$4:$B$130,$A29,Checklist!$J$4:$J$130,"&lt;&gt;Yes")</f>
        <v>5</v>
      </c>
      <c r="G29" s="19">
        <f>COUNTIFS(Checklist!$B$4:$B$130,$A29,Checklist!$K$4:$K$130,"Pass")</f>
        <v>6</v>
      </c>
      <c r="H29" s="19">
        <f>COUNTIFS(Checklist!$B$4:$B$130,$A29,Checklist!$K$4:$K$130,"Fail")</f>
        <v>0</v>
      </c>
      <c r="I29" s="19">
        <f>COUNTIFS(Checklist!$B$4:$B$130,$A29,Checklist!$K$4:$K$130,"Blocked")</f>
        <v>0</v>
      </c>
      <c r="J29" s="19">
        <f>COUNTIFS(Checklist!$B$4:$B$130,$A29,Checklist!$K$4:$K$130,"N/A")</f>
        <v>0</v>
      </c>
      <c r="K29" s="19">
        <f t="shared" si="0"/>
        <v>0</v>
      </c>
      <c r="L29" s="19">
        <f>COUNTIFS(Checklist!$B$4:$B$130,$A29,Checklist!$J$4:$J$130,"&lt;&gt;Yes",Checklist!$K$4:$K$130,"&lt;&gt;Pass",Checklist!$K$4:$K$130,"&lt;&gt;N/A")</f>
        <v>0</v>
      </c>
      <c r="M29" s="23">
        <f t="shared" si="1"/>
        <v>1</v>
      </c>
      <c r="N29" s="19" t="str">
        <f t="shared" si="2"/>
        <v>Pass</v>
      </c>
    </row>
    <row r="30" spans="1:14" ht="15.95" customHeight="1" x14ac:dyDescent="0.15">
      <c r="A30" s="18" t="s">
        <v>424</v>
      </c>
      <c r="B30" s="20" t="s">
        <v>425</v>
      </c>
      <c r="C30" s="20" t="s">
        <v>426</v>
      </c>
      <c r="D30" s="19" t="s">
        <v>247</v>
      </c>
      <c r="E30" s="19">
        <f>COUNTIF(Checklist!$B$4:$B$130,$A30)</f>
        <v>2</v>
      </c>
      <c r="F30" s="19">
        <f>COUNTIFS(Checklist!$B$4:$B$130,$A30,Checklist!$J$4:$J$130,"&lt;&gt;Yes")</f>
        <v>2</v>
      </c>
      <c r="G30" s="19">
        <f>COUNTIFS(Checklist!$B$4:$B$130,$A30,Checklist!$K$4:$K$130,"Pass")</f>
        <v>2</v>
      </c>
      <c r="H30" s="19">
        <f>COUNTIFS(Checklist!$B$4:$B$130,$A30,Checklist!$K$4:$K$130,"Fail")</f>
        <v>0</v>
      </c>
      <c r="I30" s="19">
        <f>COUNTIFS(Checklist!$B$4:$B$130,$A30,Checklist!$K$4:$K$130,"Blocked")</f>
        <v>0</v>
      </c>
      <c r="J30" s="19">
        <f>COUNTIFS(Checklist!$B$4:$B$130,$A30,Checklist!$K$4:$K$130,"N/A")</f>
        <v>0</v>
      </c>
      <c r="K30" s="19">
        <f t="shared" si="0"/>
        <v>0</v>
      </c>
      <c r="L30" s="19">
        <f>COUNTIFS(Checklist!$B$4:$B$130,$A30,Checklist!$J$4:$J$130,"&lt;&gt;Yes",Checklist!$K$4:$K$130,"&lt;&gt;Pass",Checklist!$K$4:$K$130,"&lt;&gt;N/A")</f>
        <v>0</v>
      </c>
      <c r="M30" s="23">
        <f t="shared" si="1"/>
        <v>1</v>
      </c>
      <c r="N30" s="19" t="str">
        <f t="shared" si="2"/>
        <v>Pass</v>
      </c>
    </row>
    <row r="31" spans="1:14" ht="15.95" customHeight="1" x14ac:dyDescent="0.15">
      <c r="A31" s="18" t="s">
        <v>433</v>
      </c>
      <c r="B31" s="20" t="s">
        <v>434</v>
      </c>
      <c r="C31" s="20" t="s">
        <v>435</v>
      </c>
      <c r="D31" s="19" t="s">
        <v>247</v>
      </c>
      <c r="E31" s="19">
        <f>COUNTIF(Checklist!$B$4:$B$130,$A31)</f>
        <v>4</v>
      </c>
      <c r="F31" s="19">
        <f>COUNTIFS(Checklist!$B$4:$B$130,$A31,Checklist!$J$4:$J$130,"&lt;&gt;Yes")</f>
        <v>4</v>
      </c>
      <c r="G31" s="19">
        <f>COUNTIFS(Checklist!$B$4:$B$130,$A31,Checklist!$K$4:$K$130,"Pass")</f>
        <v>4</v>
      </c>
      <c r="H31" s="19">
        <f>COUNTIFS(Checklist!$B$4:$B$130,$A31,Checklist!$K$4:$K$130,"Fail")</f>
        <v>0</v>
      </c>
      <c r="I31" s="19">
        <f>COUNTIFS(Checklist!$B$4:$B$130,$A31,Checklist!$K$4:$K$130,"Blocked")</f>
        <v>0</v>
      </c>
      <c r="J31" s="19">
        <f>COUNTIFS(Checklist!$B$4:$B$130,$A31,Checklist!$K$4:$K$130,"N/A")</f>
        <v>0</v>
      </c>
      <c r="K31" s="19">
        <f t="shared" si="0"/>
        <v>0</v>
      </c>
      <c r="L31" s="19">
        <f>COUNTIFS(Checklist!$B$4:$B$130,$A31,Checklist!$J$4:$J$130,"&lt;&gt;Yes",Checklist!$K$4:$K$130,"&lt;&gt;Pass",Checklist!$K$4:$K$130,"&lt;&gt;N/A")</f>
        <v>0</v>
      </c>
      <c r="M31" s="23">
        <f t="shared" si="1"/>
        <v>1</v>
      </c>
      <c r="N31" s="19" t="str">
        <f t="shared" si="2"/>
        <v>Pass</v>
      </c>
    </row>
    <row r="32" spans="1:14" ht="15.95" customHeight="1" x14ac:dyDescent="0.15">
      <c r="A32" s="18" t="s">
        <v>449</v>
      </c>
      <c r="B32" s="20" t="s">
        <v>450</v>
      </c>
      <c r="C32" s="20" t="s">
        <v>246</v>
      </c>
      <c r="D32" s="19" t="s">
        <v>247</v>
      </c>
      <c r="E32" s="19">
        <f>COUNTIF(Checklist!$B$4:$B$130,$A32)</f>
        <v>1</v>
      </c>
      <c r="F32" s="19">
        <f>COUNTIFS(Checklist!$B$4:$B$130,$A32,Checklist!$J$4:$J$130,"&lt;&gt;Yes")</f>
        <v>0</v>
      </c>
      <c r="G32" s="19">
        <f>COUNTIFS(Checklist!$B$4:$B$130,$A32,Checklist!$K$4:$K$130,"Pass")</f>
        <v>1</v>
      </c>
      <c r="H32" s="19">
        <f>COUNTIFS(Checklist!$B$4:$B$130,$A32,Checklist!$K$4:$K$130,"Fail")</f>
        <v>0</v>
      </c>
      <c r="I32" s="19">
        <f>COUNTIFS(Checklist!$B$4:$B$130,$A32,Checklist!$K$4:$K$130,"Blocked")</f>
        <v>0</v>
      </c>
      <c r="J32" s="19">
        <f>COUNTIFS(Checklist!$B$4:$B$130,$A32,Checklist!$K$4:$K$130,"N/A")</f>
        <v>0</v>
      </c>
      <c r="K32" s="19">
        <f t="shared" si="0"/>
        <v>0</v>
      </c>
      <c r="L32" s="19">
        <f>COUNTIFS(Checklist!$B$4:$B$130,$A32,Checklist!$J$4:$J$130,"&lt;&gt;Yes",Checklist!$K$4:$K$130,"&lt;&gt;Pass",Checklist!$K$4:$K$130,"&lt;&gt;N/A")</f>
        <v>0</v>
      </c>
      <c r="M32" s="23">
        <f t="shared" si="1"/>
        <v>1</v>
      </c>
      <c r="N32" s="19" t="str">
        <f t="shared" si="2"/>
        <v>Pass</v>
      </c>
    </row>
    <row r="33" spans="1:14" ht="15.95" customHeight="1" x14ac:dyDescent="0.15">
      <c r="A33" s="18" t="s">
        <v>456</v>
      </c>
      <c r="B33" s="20" t="s">
        <v>457</v>
      </c>
      <c r="C33" s="20" t="s">
        <v>458</v>
      </c>
      <c r="D33" s="19" t="s">
        <v>96</v>
      </c>
      <c r="E33" s="19">
        <f>COUNTIF(Checklist!$B$4:$B$130,$A33)</f>
        <v>4</v>
      </c>
      <c r="F33" s="19">
        <f>COUNTIFS(Checklist!$B$4:$B$130,$A33,Checklist!$J$4:$J$130,"&lt;&gt;Yes")</f>
        <v>4</v>
      </c>
      <c r="G33" s="19">
        <f>COUNTIFS(Checklist!$B$4:$B$130,$A33,Checklist!$K$4:$K$130,"Pass")</f>
        <v>4</v>
      </c>
      <c r="H33" s="19">
        <f>COUNTIFS(Checklist!$B$4:$B$130,$A33,Checklist!$K$4:$K$130,"Fail")</f>
        <v>0</v>
      </c>
      <c r="I33" s="19">
        <f>COUNTIFS(Checklist!$B$4:$B$130,$A33,Checklist!$K$4:$K$130,"Blocked")</f>
        <v>0</v>
      </c>
      <c r="J33" s="19">
        <f>COUNTIFS(Checklist!$B$4:$B$130,$A33,Checklist!$K$4:$K$130,"N/A")</f>
        <v>0</v>
      </c>
      <c r="K33" s="19">
        <f t="shared" si="0"/>
        <v>0</v>
      </c>
      <c r="L33" s="19">
        <f>COUNTIFS(Checklist!$B$4:$B$130,$A33,Checklist!$J$4:$J$130,"&lt;&gt;Yes",Checklist!$K$4:$K$130,"&lt;&gt;Pass",Checklist!$K$4:$K$130,"&lt;&gt;N/A")</f>
        <v>0</v>
      </c>
      <c r="M33" s="23">
        <f t="shared" si="1"/>
        <v>1</v>
      </c>
      <c r="N33" s="19" t="str">
        <f t="shared" si="2"/>
        <v>Pass</v>
      </c>
    </row>
    <row r="34" spans="1:14" ht="15.95" customHeight="1" x14ac:dyDescent="0.15">
      <c r="A34" s="18" t="s">
        <v>472</v>
      </c>
      <c r="B34" s="20" t="s">
        <v>473</v>
      </c>
      <c r="C34" s="20" t="s">
        <v>146</v>
      </c>
      <c r="D34" s="19" t="s">
        <v>96</v>
      </c>
      <c r="E34" s="19">
        <f>COUNTIF(Checklist!$B$4:$B$130,$A34)</f>
        <v>1</v>
      </c>
      <c r="F34" s="19">
        <f>COUNTIFS(Checklist!$B$4:$B$130,$A34,Checklist!$J$4:$J$130,"&lt;&gt;Yes")</f>
        <v>1</v>
      </c>
      <c r="G34" s="19">
        <f>COUNTIFS(Checklist!$B$4:$B$130,$A34,Checklist!$K$4:$K$130,"Pass")</f>
        <v>1</v>
      </c>
      <c r="H34" s="19">
        <f>COUNTIFS(Checklist!$B$4:$B$130,$A34,Checklist!$K$4:$K$130,"Fail")</f>
        <v>0</v>
      </c>
      <c r="I34" s="19">
        <f>COUNTIFS(Checklist!$B$4:$B$130,$A34,Checklist!$K$4:$K$130,"Blocked")</f>
        <v>0</v>
      </c>
      <c r="J34" s="19">
        <f>COUNTIFS(Checklist!$B$4:$B$130,$A34,Checklist!$K$4:$K$130,"N/A")</f>
        <v>0</v>
      </c>
      <c r="K34" s="19">
        <f t="shared" si="0"/>
        <v>0</v>
      </c>
      <c r="L34" s="19">
        <f>COUNTIFS(Checklist!$B$4:$B$130,$A34,Checklist!$J$4:$J$130,"&lt;&gt;Yes",Checklist!$K$4:$K$130,"&lt;&gt;Pass",Checklist!$K$4:$K$130,"&lt;&gt;N/A")</f>
        <v>0</v>
      </c>
      <c r="M34" s="23">
        <f t="shared" si="1"/>
        <v>1</v>
      </c>
      <c r="N34" s="19" t="str">
        <f t="shared" si="2"/>
        <v>Pass</v>
      </c>
    </row>
    <row r="35" spans="1:14" ht="15.95" customHeight="1" x14ac:dyDescent="0.15">
      <c r="A35" s="18" t="s">
        <v>478</v>
      </c>
      <c r="B35" s="20" t="s">
        <v>479</v>
      </c>
      <c r="C35" s="20" t="s">
        <v>176</v>
      </c>
      <c r="D35" s="19" t="s">
        <v>96</v>
      </c>
      <c r="E35" s="19">
        <f>COUNTIF(Checklist!$B$4:$B$130,$A35)</f>
        <v>2</v>
      </c>
      <c r="F35" s="19">
        <f>COUNTIFS(Checklist!$B$4:$B$130,$A35,Checklist!$J$4:$J$130,"&lt;&gt;Yes")</f>
        <v>2</v>
      </c>
      <c r="G35" s="19">
        <f>COUNTIFS(Checklist!$B$4:$B$130,$A35,Checklist!$K$4:$K$130,"Pass")</f>
        <v>2</v>
      </c>
      <c r="H35" s="19">
        <f>COUNTIFS(Checklist!$B$4:$B$130,$A35,Checklist!$K$4:$K$130,"Fail")</f>
        <v>0</v>
      </c>
      <c r="I35" s="19">
        <f>COUNTIFS(Checklist!$B$4:$B$130,$A35,Checklist!$K$4:$K$130,"Blocked")</f>
        <v>0</v>
      </c>
      <c r="J35" s="19">
        <f>COUNTIFS(Checklist!$B$4:$B$130,$A35,Checklist!$K$4:$K$130,"N/A")</f>
        <v>0</v>
      </c>
      <c r="K35" s="19">
        <f t="shared" si="0"/>
        <v>0</v>
      </c>
      <c r="L35" s="19">
        <f>COUNTIFS(Checklist!$B$4:$B$130,$A35,Checklist!$J$4:$J$130,"&lt;&gt;Yes",Checklist!$K$4:$K$130,"&lt;&gt;Pass",Checklist!$K$4:$K$130,"&lt;&gt;N/A")</f>
        <v>0</v>
      </c>
      <c r="M35" s="23">
        <f t="shared" si="1"/>
        <v>1</v>
      </c>
      <c r="N35" s="19" t="str">
        <f t="shared" si="2"/>
        <v>Pass</v>
      </c>
    </row>
    <row r="36" spans="1:14" ht="15.95" customHeight="1" x14ac:dyDescent="0.15">
      <c r="A36" s="18" t="s">
        <v>486</v>
      </c>
      <c r="B36" s="20" t="s">
        <v>487</v>
      </c>
      <c r="C36" s="20" t="s">
        <v>488</v>
      </c>
      <c r="D36" s="19" t="s">
        <v>96</v>
      </c>
      <c r="E36" s="19">
        <f>COUNTIF(Checklist!$B$4:$B$130,$A36)</f>
        <v>7</v>
      </c>
      <c r="F36" s="19">
        <f>COUNTIFS(Checklist!$B$4:$B$130,$A36,Checklist!$J$4:$J$130,"&lt;&gt;Yes")</f>
        <v>0</v>
      </c>
      <c r="G36" s="19">
        <f>COUNTIFS(Checklist!$B$4:$B$130,$A36,Checklist!$K$4:$K$130,"Pass")</f>
        <v>7</v>
      </c>
      <c r="H36" s="19">
        <f>COUNTIFS(Checklist!$B$4:$B$130,$A36,Checklist!$K$4:$K$130,"Fail")</f>
        <v>0</v>
      </c>
      <c r="I36" s="19">
        <f>COUNTIFS(Checklist!$B$4:$B$130,$A36,Checklist!$K$4:$K$130,"Blocked")</f>
        <v>0</v>
      </c>
      <c r="J36" s="19">
        <f>COUNTIFS(Checklist!$B$4:$B$130,$A36,Checklist!$K$4:$K$130,"N/A")</f>
        <v>0</v>
      </c>
      <c r="K36" s="19">
        <f t="shared" si="0"/>
        <v>0</v>
      </c>
      <c r="L36" s="19">
        <f>COUNTIFS(Checklist!$B$4:$B$130,$A36,Checklist!$J$4:$J$130,"&lt;&gt;Yes",Checklist!$K$4:$K$130,"&lt;&gt;Pass",Checklist!$K$4:$K$130,"&lt;&gt;N/A")</f>
        <v>0</v>
      </c>
      <c r="M36" s="23">
        <f t="shared" si="1"/>
        <v>1</v>
      </c>
      <c r="N36" s="19" t="str">
        <f t="shared" si="2"/>
        <v>Pass</v>
      </c>
    </row>
    <row r="37" spans="1:14" ht="15.95" customHeight="1" x14ac:dyDescent="0.15">
      <c r="A37" s="18" t="s">
        <v>506</v>
      </c>
      <c r="B37" s="20" t="s">
        <v>507</v>
      </c>
      <c r="C37" s="20" t="s">
        <v>263</v>
      </c>
      <c r="D37" s="19" t="s">
        <v>247</v>
      </c>
      <c r="E37" s="19">
        <f>COUNTIF(Checklist!$B$4:$B$130,$A37)</f>
        <v>2</v>
      </c>
      <c r="F37" s="19">
        <f>COUNTIFS(Checklist!$B$4:$B$130,$A37,Checklist!$J$4:$J$130,"&lt;&gt;Yes")</f>
        <v>2</v>
      </c>
      <c r="G37" s="19">
        <f>COUNTIFS(Checklist!$B$4:$B$130,$A37,Checklist!$K$4:$K$130,"Pass")</f>
        <v>2</v>
      </c>
      <c r="H37" s="19">
        <f>COUNTIFS(Checklist!$B$4:$B$130,$A37,Checklist!$K$4:$K$130,"Fail")</f>
        <v>0</v>
      </c>
      <c r="I37" s="19">
        <f>COUNTIFS(Checklist!$B$4:$B$130,$A37,Checklist!$K$4:$K$130,"Blocked")</f>
        <v>0</v>
      </c>
      <c r="J37" s="19">
        <f>COUNTIFS(Checklist!$B$4:$B$130,$A37,Checklist!$K$4:$K$130,"N/A")</f>
        <v>0</v>
      </c>
      <c r="K37" s="19">
        <f t="shared" si="0"/>
        <v>0</v>
      </c>
      <c r="L37" s="19">
        <f>COUNTIFS(Checklist!$B$4:$B$130,$A37,Checklist!$J$4:$J$130,"&lt;&gt;Yes",Checklist!$K$4:$K$130,"&lt;&gt;Pass",Checklist!$K$4:$K$130,"&lt;&gt;N/A")</f>
        <v>0</v>
      </c>
      <c r="M37" s="23">
        <f t="shared" si="1"/>
        <v>1</v>
      </c>
      <c r="N37" s="19" t="str">
        <f t="shared" si="2"/>
        <v>Pass</v>
      </c>
    </row>
    <row r="38" spans="1:14" ht="15.95" customHeight="1" x14ac:dyDescent="0.15">
      <c r="A38" s="18" t="s">
        <v>515</v>
      </c>
      <c r="B38" s="20" t="s">
        <v>516</v>
      </c>
      <c r="C38" s="20" t="s">
        <v>334</v>
      </c>
      <c r="D38" s="19" t="s">
        <v>247</v>
      </c>
      <c r="E38" s="19">
        <f>COUNTIF(Checklist!$B$4:$B$130,$A38)</f>
        <v>2</v>
      </c>
      <c r="F38" s="19">
        <f>COUNTIFS(Checklist!$B$4:$B$130,$A38,Checklist!$J$4:$J$130,"&lt;&gt;Yes")</f>
        <v>2</v>
      </c>
      <c r="G38" s="19">
        <f>COUNTIFS(Checklist!$B$4:$B$130,$A38,Checklist!$K$4:$K$130,"Pass")</f>
        <v>2</v>
      </c>
      <c r="H38" s="19">
        <f>COUNTIFS(Checklist!$B$4:$B$130,$A38,Checklist!$K$4:$K$130,"Fail")</f>
        <v>0</v>
      </c>
      <c r="I38" s="19">
        <f>COUNTIFS(Checklist!$B$4:$B$130,$A38,Checklist!$K$4:$K$130,"Blocked")</f>
        <v>0</v>
      </c>
      <c r="J38" s="19">
        <f>COUNTIFS(Checklist!$B$4:$B$130,$A38,Checklist!$K$4:$K$130,"N/A")</f>
        <v>0</v>
      </c>
      <c r="K38" s="19">
        <f t="shared" si="0"/>
        <v>0</v>
      </c>
      <c r="L38" s="19">
        <f>COUNTIFS(Checklist!$B$4:$B$130,$A38,Checklist!$J$4:$J$130,"&lt;&gt;Yes",Checklist!$K$4:$K$130,"&lt;&gt;Pass",Checklist!$K$4:$K$130,"&lt;&gt;N/A")</f>
        <v>0</v>
      </c>
      <c r="M38" s="23">
        <f t="shared" si="1"/>
        <v>1</v>
      </c>
      <c r="N38" s="19" t="str">
        <f t="shared" si="2"/>
        <v>Pass</v>
      </c>
    </row>
    <row r="39" spans="1:14" ht="15.95" customHeight="1" x14ac:dyDescent="0.15">
      <c r="A39" s="18" t="s">
        <v>523</v>
      </c>
      <c r="B39" s="20" t="s">
        <v>524</v>
      </c>
      <c r="C39" s="20" t="s">
        <v>525</v>
      </c>
      <c r="D39" s="19" t="s">
        <v>247</v>
      </c>
      <c r="E39" s="19">
        <f>COUNTIF(Checklist!$B$4:$B$130,$A39)</f>
        <v>1</v>
      </c>
      <c r="F39" s="19">
        <f>COUNTIFS(Checklist!$B$4:$B$130,$A39,Checklist!$J$4:$J$130,"&lt;&gt;Yes")</f>
        <v>0</v>
      </c>
      <c r="G39" s="19">
        <f>COUNTIFS(Checklist!$B$4:$B$130,$A39,Checklist!$K$4:$K$130,"Pass")</f>
        <v>1</v>
      </c>
      <c r="H39" s="19">
        <f>COUNTIFS(Checklist!$B$4:$B$130,$A39,Checklist!$K$4:$K$130,"Fail")</f>
        <v>0</v>
      </c>
      <c r="I39" s="19">
        <f>COUNTIFS(Checklist!$B$4:$B$130,$A39,Checklist!$K$4:$K$130,"Blocked")</f>
        <v>0</v>
      </c>
      <c r="J39" s="19">
        <f>COUNTIFS(Checklist!$B$4:$B$130,$A39,Checklist!$K$4:$K$130,"N/A")</f>
        <v>0</v>
      </c>
      <c r="K39" s="19">
        <f t="shared" si="0"/>
        <v>0</v>
      </c>
      <c r="L39" s="19">
        <f>COUNTIFS(Checklist!$B$4:$B$130,$A39,Checklist!$J$4:$J$130,"&lt;&gt;Yes",Checklist!$K$4:$K$130,"&lt;&gt;Pass",Checklist!$K$4:$K$130,"&lt;&gt;N/A")</f>
        <v>0</v>
      </c>
      <c r="M39" s="23">
        <f t="shared" si="1"/>
        <v>1</v>
      </c>
      <c r="N39" s="19" t="str">
        <f t="shared" si="2"/>
        <v>Pass</v>
      </c>
    </row>
    <row r="40" spans="1:14" ht="15.95" customHeight="1" x14ac:dyDescent="0.15">
      <c r="A40" s="18" t="s">
        <v>532</v>
      </c>
      <c r="B40" s="20" t="s">
        <v>533</v>
      </c>
      <c r="C40" s="20" t="s">
        <v>534</v>
      </c>
      <c r="D40" s="19" t="s">
        <v>535</v>
      </c>
      <c r="E40" s="19">
        <f>COUNTIF(Checklist!$B$4:$B$130,$A40)</f>
        <v>5</v>
      </c>
      <c r="F40" s="19">
        <f>COUNTIFS(Checklist!$B$4:$B$130,$A40,Checklist!$J$4:$J$130,"&lt;&gt;Yes")</f>
        <v>4</v>
      </c>
      <c r="G40" s="19">
        <f>COUNTIFS(Checklist!$B$4:$B$130,$A40,Checklist!$K$4:$K$130,"Pass")</f>
        <v>5</v>
      </c>
      <c r="H40" s="19">
        <f>COUNTIFS(Checklist!$B$4:$B$130,$A40,Checklist!$K$4:$K$130,"Fail")</f>
        <v>0</v>
      </c>
      <c r="I40" s="19">
        <f>COUNTIFS(Checklist!$B$4:$B$130,$A40,Checklist!$K$4:$K$130,"Blocked")</f>
        <v>0</v>
      </c>
      <c r="J40" s="19">
        <f>COUNTIFS(Checklist!$B$4:$B$130,$A40,Checklist!$K$4:$K$130,"N/A")</f>
        <v>0</v>
      </c>
      <c r="K40" s="19">
        <f t="shared" si="0"/>
        <v>0</v>
      </c>
      <c r="L40" s="19">
        <f>COUNTIFS(Checklist!$B$4:$B$130,$A40,Checklist!$J$4:$J$130,"&lt;&gt;Yes",Checklist!$K$4:$K$130,"&lt;&gt;Pass",Checklist!$K$4:$K$130,"&lt;&gt;N/A")</f>
        <v>0</v>
      </c>
      <c r="M40" s="23">
        <f t="shared" si="1"/>
        <v>1</v>
      </c>
      <c r="N40" s="19" t="str">
        <f t="shared" si="2"/>
        <v>Pass</v>
      </c>
    </row>
    <row r="41" spans="1:14" ht="15.95" customHeight="1" x14ac:dyDescent="0.15">
      <c r="A41" s="24" t="s">
        <v>559</v>
      </c>
      <c r="B41" s="25" t="s">
        <v>560</v>
      </c>
      <c r="C41" s="25"/>
      <c r="D41" s="24"/>
      <c r="E41" s="24">
        <f t="shared" ref="E41:L41" si="3">SUM(E5:E40)</f>
        <v>123</v>
      </c>
      <c r="F41" s="24">
        <f t="shared" si="3"/>
        <v>110</v>
      </c>
      <c r="G41" s="24">
        <f t="shared" si="3"/>
        <v>123</v>
      </c>
      <c r="H41" s="24">
        <f t="shared" si="3"/>
        <v>0</v>
      </c>
      <c r="I41" s="24">
        <f t="shared" si="3"/>
        <v>0</v>
      </c>
      <c r="J41" s="24">
        <f t="shared" si="3"/>
        <v>0</v>
      </c>
      <c r="K41" s="24">
        <f t="shared" si="3"/>
        <v>0</v>
      </c>
      <c r="L41" s="24">
        <f t="shared" si="3"/>
        <v>0</v>
      </c>
      <c r="M41" s="26">
        <f t="shared" si="1"/>
        <v>1</v>
      </c>
      <c r="N41" s="24" t="str">
        <f t="shared" si="2"/>
        <v>Pass</v>
      </c>
    </row>
    <row r="42" spans="1:14" ht="15.95" customHeight="1" x14ac:dyDescent="0.15"/>
    <row r="43" spans="1:14" ht="18" customHeight="1" x14ac:dyDescent="0.25">
      <c r="A43" s="27" t="s">
        <v>561</v>
      </c>
    </row>
    <row r="44" spans="1:14" ht="27.95" customHeight="1" x14ac:dyDescent="0.15">
      <c r="A44" s="9" t="s">
        <v>82</v>
      </c>
      <c r="B44" s="41" t="s">
        <v>562</v>
      </c>
      <c r="C44" s="42"/>
      <c r="D44" s="43"/>
      <c r="E44" s="9" t="s">
        <v>553</v>
      </c>
      <c r="F44" s="9" t="s">
        <v>554</v>
      </c>
      <c r="G44" s="9" t="s">
        <v>17</v>
      </c>
      <c r="H44" s="9" t="s">
        <v>19</v>
      </c>
      <c r="I44" s="9" t="s">
        <v>21</v>
      </c>
      <c r="J44" s="9" t="s">
        <v>25</v>
      </c>
      <c r="K44" s="9" t="s">
        <v>555</v>
      </c>
      <c r="L44" s="9" t="s">
        <v>556</v>
      </c>
      <c r="M44" s="9" t="s">
        <v>557</v>
      </c>
      <c r="N44" s="9" t="s">
        <v>558</v>
      </c>
    </row>
    <row r="45" spans="1:14" ht="15.95" customHeight="1" x14ac:dyDescent="0.15">
      <c r="A45" s="18" t="s">
        <v>96</v>
      </c>
      <c r="B45" s="39" t="s">
        <v>563</v>
      </c>
      <c r="C45" s="40"/>
      <c r="D45" s="40"/>
      <c r="E45" s="19">
        <f>COUNTIF(Checklist!$E$4:$E$130,$A45)</f>
        <v>69</v>
      </c>
      <c r="F45" s="19">
        <f>COUNTIFS(Checklist!$E$4:$E$130,$A45,Checklist!$J$4:$J$130,"&lt;&gt;Yes")</f>
        <v>60</v>
      </c>
      <c r="G45" s="19">
        <f>COUNTIFS(Checklist!$E$4:$E$130,$A45,Checklist!$K$4:$K$130,"Pass")</f>
        <v>69</v>
      </c>
      <c r="H45" s="19">
        <f>COUNTIFS(Checklist!$E$4:$E$130,$A45,Checklist!$K$4:$K$130,"Fail")</f>
        <v>0</v>
      </c>
      <c r="I45" s="19">
        <f>COUNTIFS(Checklist!$E$4:$E$130,$A45,Checklist!$K$4:$K$130,"Blocked")</f>
        <v>0</v>
      </c>
      <c r="J45" s="19">
        <f>COUNTIFS(Checklist!$E$4:$E$130,$A45,Checklist!$K$4:$K$130,"N/A")</f>
        <v>0</v>
      </c>
      <c r="K45" s="19">
        <f>E45-G45-H45-I45-J45</f>
        <v>0</v>
      </c>
      <c r="L45" s="19">
        <f>COUNTIFS(Checklist!$E$4:$E$130,$A45,Checklist!$J$4:$J$130,"&lt;&gt;Yes",Checklist!$K$4:$K$130,"&lt;&gt;Pass",Checklist!$K$4:$K$130,"&lt;&gt;N/A")</f>
        <v>0</v>
      </c>
      <c r="M45" s="23">
        <f>IF(E45=0,0,(G45+H45+I45+J45)/E45)</f>
        <v>1</v>
      </c>
      <c r="N45" s="19" t="str">
        <f>IF(H45&gt;0,"Fail",IF(I45&gt;0,"Blocked",IF(G45+H45+I45+J45=0,IF(F45=0,"Optional","Not started"),IF(L45=0,"Pass","In progress"))))</f>
        <v>Pass</v>
      </c>
    </row>
    <row r="46" spans="1:14" ht="15.95" customHeight="1" x14ac:dyDescent="0.15">
      <c r="A46" s="18" t="s">
        <v>247</v>
      </c>
      <c r="B46" s="39" t="s">
        <v>564</v>
      </c>
      <c r="C46" s="40"/>
      <c r="D46" s="40"/>
      <c r="E46" s="19">
        <f>COUNTIF(Checklist!$E$4:$E$130,$A46)</f>
        <v>49</v>
      </c>
      <c r="F46" s="19">
        <f>COUNTIFS(Checklist!$E$4:$E$130,$A46,Checklist!$J$4:$J$130,"&lt;&gt;Yes")</f>
        <v>46</v>
      </c>
      <c r="G46" s="19">
        <f>COUNTIFS(Checklist!$E$4:$E$130,$A46,Checklist!$K$4:$K$130,"Pass")</f>
        <v>49</v>
      </c>
      <c r="H46" s="19">
        <f>COUNTIFS(Checklist!$E$4:$E$130,$A46,Checklist!$K$4:$K$130,"Fail")</f>
        <v>0</v>
      </c>
      <c r="I46" s="19">
        <f>COUNTIFS(Checklist!$E$4:$E$130,$A46,Checklist!$K$4:$K$130,"Blocked")</f>
        <v>0</v>
      </c>
      <c r="J46" s="19">
        <f>COUNTIFS(Checklist!$E$4:$E$130,$A46,Checklist!$K$4:$K$130,"N/A")</f>
        <v>0</v>
      </c>
      <c r="K46" s="19">
        <f>E46-G46-H46-I46-J46</f>
        <v>0</v>
      </c>
      <c r="L46" s="19">
        <f>COUNTIFS(Checklist!$E$4:$E$130,$A46,Checklist!$J$4:$J$130,"&lt;&gt;Yes",Checklist!$K$4:$K$130,"&lt;&gt;Pass",Checklist!$K$4:$K$130,"&lt;&gt;N/A")</f>
        <v>0</v>
      </c>
      <c r="M46" s="23">
        <f>IF(E46=0,0,(G46+H46+I46+J46)/E46)</f>
        <v>1</v>
      </c>
      <c r="N46" s="19" t="str">
        <f>IF(H46&gt;0,"Fail",IF(I46&gt;0,"Blocked",IF(G46+H46+I46+J46=0,IF(F46=0,"Optional","Not started"),IF(L46=0,"Pass","In progress"))))</f>
        <v>Pass</v>
      </c>
    </row>
    <row r="47" spans="1:14" ht="15.95" customHeight="1" x14ac:dyDescent="0.15">
      <c r="A47" s="18" t="s">
        <v>535</v>
      </c>
      <c r="B47" s="39" t="s">
        <v>565</v>
      </c>
      <c r="C47" s="40"/>
      <c r="D47" s="40"/>
      <c r="E47" s="19">
        <f>COUNTIF(Checklist!$E$4:$E$130,$A47)</f>
        <v>5</v>
      </c>
      <c r="F47" s="19">
        <f>COUNTIFS(Checklist!$E$4:$E$130,$A47,Checklist!$J$4:$J$130,"&lt;&gt;Yes")</f>
        <v>4</v>
      </c>
      <c r="G47" s="19">
        <f>COUNTIFS(Checklist!$E$4:$E$130,$A47,Checklist!$K$4:$K$130,"Pass")</f>
        <v>5</v>
      </c>
      <c r="H47" s="19">
        <f>COUNTIFS(Checklist!$E$4:$E$130,$A47,Checklist!$K$4:$K$130,"Fail")</f>
        <v>0</v>
      </c>
      <c r="I47" s="19">
        <f>COUNTIFS(Checklist!$E$4:$E$130,$A47,Checklist!$K$4:$K$130,"Blocked")</f>
        <v>0</v>
      </c>
      <c r="J47" s="19">
        <f>COUNTIFS(Checklist!$E$4:$E$130,$A47,Checklist!$K$4:$K$130,"N/A")</f>
        <v>0</v>
      </c>
      <c r="K47" s="19">
        <f>E47-G47-H47-I47-J47</f>
        <v>0</v>
      </c>
      <c r="L47" s="19">
        <f>COUNTIFS(Checklist!$E$4:$E$130,$A47,Checklist!$J$4:$J$130,"&lt;&gt;Yes",Checklist!$K$4:$K$130,"&lt;&gt;Pass",Checklist!$K$4:$K$130,"&lt;&gt;N/A")</f>
        <v>0</v>
      </c>
      <c r="M47" s="23">
        <f>IF(E47=0,0,(G47+H47+I47+J47)/E47)</f>
        <v>1</v>
      </c>
      <c r="N47" s="19" t="str">
        <f>IF(H47&gt;0,"Fail",IF(I47&gt;0,"Blocked",IF(G47+H47+I47+J47=0,IF(F47=0,"Optional","Not started"),IF(L47=0,"Pass","In progress"))))</f>
        <v>Pass</v>
      </c>
    </row>
    <row r="48" spans="1:14" ht="15.95" customHeight="1" x14ac:dyDescent="0.15"/>
    <row r="49" spans="1:5" ht="14.25" x14ac:dyDescent="0.2">
      <c r="A49" s="38" t="s">
        <v>566</v>
      </c>
      <c r="B49" s="34"/>
      <c r="C49" s="34"/>
      <c r="D49" s="34"/>
      <c r="E49" s="29">
        <f>E41-SUM(E45:E47)</f>
        <v>0</v>
      </c>
    </row>
  </sheetData>
  <mergeCells count="7">
    <mergeCell ref="A49:D49"/>
    <mergeCell ref="B47:D47"/>
    <mergeCell ref="A1:N1"/>
    <mergeCell ref="B45:D45"/>
    <mergeCell ref="B46:D46"/>
    <mergeCell ref="A2:N2"/>
    <mergeCell ref="B44:D44"/>
  </mergeCells>
  <phoneticPr fontId="10"/>
  <conditionalFormatting sqref="N5:N41">
    <cfRule type="expression" dxfId="12" priority="1">
      <formula>$N5="Pass"</formula>
    </cfRule>
    <cfRule type="expression" dxfId="11" priority="2">
      <formula>$N5="Fail"</formula>
    </cfRule>
    <cfRule type="expression" dxfId="10" priority="3">
      <formula>$N5="Blocked"</formula>
    </cfRule>
    <cfRule type="expression" dxfId="9" priority="4">
      <formula>$N5="In progress"</formula>
    </cfRule>
    <cfRule type="expression" dxfId="8" priority="5">
      <formula>$N5="Optional"</formula>
    </cfRule>
  </conditionalFormatting>
  <conditionalFormatting sqref="N45:N47">
    <cfRule type="expression" dxfId="7" priority="6">
      <formula>$N45="Pass"</formula>
    </cfRule>
    <cfRule type="expression" dxfId="6" priority="7">
      <formula>$N45="Fail"</formula>
    </cfRule>
    <cfRule type="expression" dxfId="5" priority="8">
      <formula>$N45="Blocked"</formula>
    </cfRule>
    <cfRule type="expression" dxfId="4" priority="9">
      <formula>$N45="In progress"</formula>
    </cfRule>
    <cfRule type="expression" dxfId="3" priority="10">
      <formula>$N45="Optional"</formula>
    </cfRule>
  </conditionalFormatting>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pane xSplit="1" ySplit="4" topLeftCell="B5" activePane="bottomRight" state="frozen"/>
      <selection pane="topRight"/>
      <selection pane="bottomLeft"/>
      <selection pane="bottomRight" sqref="A1:H1"/>
    </sheetView>
  </sheetViews>
  <sheetFormatPr defaultRowHeight="13.5" x14ac:dyDescent="0.15"/>
  <cols>
    <col min="1" max="1" width="6" customWidth="1"/>
    <col min="2" max="2" width="14" customWidth="1"/>
    <col min="3" max="3" width="34" customWidth="1"/>
    <col min="4" max="4" width="46" customWidth="1"/>
    <col min="5" max="5" width="30" customWidth="1"/>
    <col min="6" max="6" width="40" customWidth="1"/>
    <col min="7" max="8" width="10" customWidth="1"/>
  </cols>
  <sheetData>
    <row r="1" spans="1:8" ht="18" x14ac:dyDescent="0.25">
      <c r="A1" s="35" t="s">
        <v>567</v>
      </c>
      <c r="B1" s="34"/>
      <c r="C1" s="34"/>
      <c r="D1" s="34"/>
      <c r="E1" s="34"/>
      <c r="F1" s="34"/>
      <c r="G1" s="34"/>
      <c r="H1" s="34"/>
    </row>
    <row r="2" spans="1:8" ht="30" customHeight="1" x14ac:dyDescent="0.15">
      <c r="A2" s="37" t="s">
        <v>568</v>
      </c>
      <c r="B2" s="34"/>
      <c r="C2" s="34"/>
      <c r="D2" s="34"/>
      <c r="E2" s="34"/>
      <c r="F2" s="34"/>
      <c r="G2" s="34"/>
      <c r="H2" s="34"/>
    </row>
    <row r="3" spans="1:8" ht="15.95" customHeight="1" x14ac:dyDescent="0.15"/>
    <row r="4" spans="1:8" ht="15.95" customHeight="1" x14ac:dyDescent="0.15">
      <c r="A4" s="9" t="s">
        <v>78</v>
      </c>
      <c r="B4" s="9" t="s">
        <v>569</v>
      </c>
      <c r="C4" s="9" t="s">
        <v>570</v>
      </c>
      <c r="D4" s="9" t="s">
        <v>571</v>
      </c>
      <c r="E4" s="9" t="s">
        <v>572</v>
      </c>
      <c r="F4" s="9" t="s">
        <v>573</v>
      </c>
      <c r="G4" s="9" t="s">
        <v>574</v>
      </c>
      <c r="H4" s="9" t="s">
        <v>575</v>
      </c>
    </row>
    <row r="5" spans="1:8" ht="27.95" customHeight="1" x14ac:dyDescent="0.15">
      <c r="A5" s="18" t="s">
        <v>576</v>
      </c>
      <c r="B5" s="20" t="s">
        <v>577</v>
      </c>
      <c r="C5" s="20" t="s">
        <v>578</v>
      </c>
      <c r="D5" s="20" t="s">
        <v>579</v>
      </c>
      <c r="E5" s="30" t="s">
        <v>580</v>
      </c>
      <c r="F5" s="20" t="s">
        <v>581</v>
      </c>
      <c r="G5" s="13"/>
      <c r="H5" s="13"/>
    </row>
    <row r="6" spans="1:8" ht="27.95" customHeight="1" x14ac:dyDescent="0.15">
      <c r="A6" s="18" t="s">
        <v>582</v>
      </c>
      <c r="B6" s="20" t="s">
        <v>583</v>
      </c>
      <c r="C6" s="20" t="s">
        <v>578</v>
      </c>
      <c r="D6" s="20" t="s">
        <v>584</v>
      </c>
      <c r="E6" s="30">
        <v>0.8</v>
      </c>
      <c r="F6" s="20" t="s">
        <v>581</v>
      </c>
      <c r="G6" s="13"/>
      <c r="H6" s="13"/>
    </row>
    <row r="7" spans="1:8" ht="15.95" customHeight="1" x14ac:dyDescent="0.15">
      <c r="A7" s="18" t="s">
        <v>585</v>
      </c>
      <c r="B7" s="20" t="s">
        <v>387</v>
      </c>
      <c r="C7" s="20" t="s">
        <v>578</v>
      </c>
      <c r="D7" s="20" t="s">
        <v>586</v>
      </c>
      <c r="E7" s="30">
        <v>20</v>
      </c>
      <c r="F7" s="20" t="s">
        <v>581</v>
      </c>
      <c r="G7" s="13"/>
      <c r="H7" s="13"/>
    </row>
    <row r="8" spans="1:8" ht="15.95" customHeight="1" x14ac:dyDescent="0.15">
      <c r="A8" s="18" t="s">
        <v>405</v>
      </c>
      <c r="B8" s="20" t="s">
        <v>402</v>
      </c>
      <c r="C8" s="20" t="s">
        <v>578</v>
      </c>
      <c r="D8" s="20" t="s">
        <v>587</v>
      </c>
      <c r="E8" s="30">
        <v>10</v>
      </c>
      <c r="F8" s="20" t="s">
        <v>581</v>
      </c>
      <c r="G8" s="13"/>
      <c r="H8" s="13"/>
    </row>
    <row r="9" spans="1:8" ht="15.95" customHeight="1" x14ac:dyDescent="0.15">
      <c r="A9" s="18" t="s">
        <v>588</v>
      </c>
      <c r="B9" s="20" t="s">
        <v>378</v>
      </c>
      <c r="C9" s="20" t="s">
        <v>589</v>
      </c>
      <c r="D9" s="20" t="s">
        <v>590</v>
      </c>
      <c r="E9" s="30" t="s">
        <v>591</v>
      </c>
      <c r="F9" s="20" t="s">
        <v>592</v>
      </c>
      <c r="G9" s="13"/>
      <c r="H9" s="13"/>
    </row>
    <row r="10" spans="1:8" ht="15.95" customHeight="1" x14ac:dyDescent="0.15">
      <c r="A10" s="18" t="s">
        <v>593</v>
      </c>
      <c r="B10" s="20" t="s">
        <v>387</v>
      </c>
      <c r="C10" s="20" t="s">
        <v>594</v>
      </c>
      <c r="D10" s="20" t="s">
        <v>595</v>
      </c>
      <c r="E10" s="30" t="s">
        <v>596</v>
      </c>
      <c r="F10" s="20" t="s">
        <v>597</v>
      </c>
      <c r="G10" s="13"/>
      <c r="H10" s="13"/>
    </row>
    <row r="11" spans="1:8" ht="15.95" customHeight="1" x14ac:dyDescent="0.15">
      <c r="A11" s="18" t="s">
        <v>437</v>
      </c>
      <c r="B11" s="20" t="s">
        <v>433</v>
      </c>
      <c r="C11" s="20" t="s">
        <v>598</v>
      </c>
      <c r="D11" s="20" t="s">
        <v>599</v>
      </c>
      <c r="E11" s="30" t="s">
        <v>600</v>
      </c>
      <c r="F11" s="20" t="s">
        <v>601</v>
      </c>
      <c r="G11" s="13"/>
      <c r="H11" s="13"/>
    </row>
    <row r="12" spans="1:8" ht="15.95" customHeight="1" x14ac:dyDescent="0.15">
      <c r="A12" s="18" t="s">
        <v>451</v>
      </c>
      <c r="B12" s="20" t="s">
        <v>449</v>
      </c>
      <c r="C12" s="20" t="s">
        <v>602</v>
      </c>
      <c r="D12" s="20" t="s">
        <v>603</v>
      </c>
      <c r="E12" s="30" t="s">
        <v>604</v>
      </c>
      <c r="F12" s="20" t="s">
        <v>605</v>
      </c>
      <c r="G12" s="13"/>
      <c r="H12" s="13"/>
    </row>
    <row r="13" spans="1:8" ht="27.95" customHeight="1" x14ac:dyDescent="0.15">
      <c r="A13" s="18" t="s">
        <v>427</v>
      </c>
      <c r="B13" s="20" t="s">
        <v>424</v>
      </c>
      <c r="C13" s="20" t="s">
        <v>606</v>
      </c>
      <c r="D13" s="20" t="s">
        <v>607</v>
      </c>
      <c r="E13" s="30">
        <v>120</v>
      </c>
      <c r="F13" s="20" t="s">
        <v>608</v>
      </c>
      <c r="G13" s="13"/>
      <c r="H13" s="13"/>
    </row>
    <row r="14" spans="1:8" ht="27.95" customHeight="1" x14ac:dyDescent="0.15">
      <c r="A14" s="18" t="s">
        <v>459</v>
      </c>
      <c r="B14" s="20" t="s">
        <v>456</v>
      </c>
      <c r="C14" s="20" t="s">
        <v>609</v>
      </c>
      <c r="D14" s="20" t="s">
        <v>610</v>
      </c>
      <c r="E14" s="30" t="s">
        <v>611</v>
      </c>
      <c r="F14" s="20" t="s">
        <v>612</v>
      </c>
      <c r="G14" s="13"/>
      <c r="H14" s="13"/>
    </row>
    <row r="15" spans="1:8" ht="27.95" customHeight="1" x14ac:dyDescent="0.15">
      <c r="A15" s="18" t="s">
        <v>613</v>
      </c>
      <c r="B15" s="20" t="s">
        <v>472</v>
      </c>
      <c r="C15" s="20" t="s">
        <v>614</v>
      </c>
      <c r="D15" s="20" t="s">
        <v>615</v>
      </c>
      <c r="E15" s="30" t="s">
        <v>616</v>
      </c>
      <c r="F15" s="20" t="s">
        <v>617</v>
      </c>
      <c r="G15" s="13"/>
      <c r="H15" s="13"/>
    </row>
    <row r="16" spans="1:8" ht="27.95" customHeight="1" x14ac:dyDescent="0.15">
      <c r="A16" s="18" t="s">
        <v>480</v>
      </c>
      <c r="B16" s="20" t="s">
        <v>478</v>
      </c>
      <c r="C16" s="20" t="s">
        <v>618</v>
      </c>
      <c r="D16" s="20" t="s">
        <v>619</v>
      </c>
      <c r="E16" s="30" t="s">
        <v>620</v>
      </c>
      <c r="F16" s="20" t="s">
        <v>621</v>
      </c>
      <c r="G16" s="13"/>
      <c r="H16" s="13"/>
    </row>
    <row r="17" spans="1:8" ht="27.95" customHeight="1" x14ac:dyDescent="0.15">
      <c r="A17" s="18" t="s">
        <v>489</v>
      </c>
      <c r="B17" s="20" t="s">
        <v>622</v>
      </c>
      <c r="C17" s="20" t="s">
        <v>623</v>
      </c>
      <c r="D17" s="20" t="s">
        <v>624</v>
      </c>
      <c r="E17" s="30" t="s">
        <v>625</v>
      </c>
      <c r="F17" s="20" t="s">
        <v>626</v>
      </c>
      <c r="G17" s="13"/>
      <c r="H17" s="13"/>
    </row>
    <row r="18" spans="1:8" ht="41.1" customHeight="1" x14ac:dyDescent="0.15">
      <c r="A18" s="18" t="s">
        <v>508</v>
      </c>
      <c r="B18" s="20" t="s">
        <v>506</v>
      </c>
      <c r="C18" s="20" t="s">
        <v>627</v>
      </c>
      <c r="D18" s="20" t="s">
        <v>628</v>
      </c>
      <c r="E18" s="30" t="s">
        <v>629</v>
      </c>
      <c r="F18" s="20" t="s">
        <v>617</v>
      </c>
      <c r="G18" s="13"/>
      <c r="H18" s="13"/>
    </row>
    <row r="19" spans="1:8" ht="27.95" customHeight="1" x14ac:dyDescent="0.15">
      <c r="A19" s="18" t="s">
        <v>517</v>
      </c>
      <c r="B19" s="20" t="s">
        <v>515</v>
      </c>
      <c r="C19" s="20" t="s">
        <v>630</v>
      </c>
      <c r="D19" s="20" t="s">
        <v>631</v>
      </c>
      <c r="E19" s="30" t="s">
        <v>611</v>
      </c>
      <c r="F19" s="20" t="s">
        <v>632</v>
      </c>
      <c r="G19" s="13"/>
      <c r="H19" s="13"/>
    </row>
    <row r="20" spans="1:8" ht="27.95" customHeight="1" x14ac:dyDescent="0.15">
      <c r="A20" s="18" t="s">
        <v>527</v>
      </c>
      <c r="B20" s="20" t="s">
        <v>633</v>
      </c>
      <c r="C20" s="20" t="s">
        <v>634</v>
      </c>
      <c r="D20" s="20" t="s">
        <v>635</v>
      </c>
      <c r="E20" s="30" t="s">
        <v>611</v>
      </c>
      <c r="F20" s="20" t="s">
        <v>632</v>
      </c>
      <c r="G20" s="13"/>
      <c r="H20" s="13"/>
    </row>
    <row r="21" spans="1:8" ht="15.95" customHeight="1" x14ac:dyDescent="0.15">
      <c r="A21" s="18" t="s">
        <v>98</v>
      </c>
      <c r="B21" s="20" t="s">
        <v>636</v>
      </c>
      <c r="C21" s="20" t="s">
        <v>637</v>
      </c>
      <c r="D21" s="20" t="s">
        <v>638</v>
      </c>
      <c r="E21" s="30" t="s">
        <v>98</v>
      </c>
      <c r="F21" s="20" t="s">
        <v>639</v>
      </c>
      <c r="G21" s="13"/>
      <c r="H21" s="13"/>
    </row>
    <row r="22" spans="1:8" ht="27.95" customHeight="1" x14ac:dyDescent="0.15">
      <c r="A22" s="18" t="s">
        <v>98</v>
      </c>
      <c r="B22" s="20" t="s">
        <v>636</v>
      </c>
      <c r="C22" s="20" t="s">
        <v>640</v>
      </c>
      <c r="D22" s="20" t="s">
        <v>641</v>
      </c>
      <c r="E22" s="30" t="s">
        <v>642</v>
      </c>
      <c r="F22" s="20" t="s">
        <v>643</v>
      </c>
      <c r="G22" s="13"/>
      <c r="H22" s="13"/>
    </row>
    <row r="23" spans="1:8" ht="27.95" customHeight="1" x14ac:dyDescent="0.15">
      <c r="A23" s="18" t="s">
        <v>98</v>
      </c>
      <c r="B23" s="20" t="s">
        <v>644</v>
      </c>
      <c r="C23" s="20" t="s">
        <v>645</v>
      </c>
      <c r="D23" s="20" t="s">
        <v>646</v>
      </c>
      <c r="E23" s="30" t="s">
        <v>98</v>
      </c>
      <c r="F23" s="20" t="s">
        <v>647</v>
      </c>
      <c r="G23" s="13"/>
      <c r="H23" s="13"/>
    </row>
    <row r="24" spans="1:8" ht="15.95" customHeight="1" x14ac:dyDescent="0.15"/>
    <row r="25" spans="1:8" ht="14.25" x14ac:dyDescent="0.2">
      <c r="A25" s="44" t="s">
        <v>648</v>
      </c>
      <c r="B25" s="34"/>
      <c r="C25" s="34"/>
      <c r="D25" s="31">
        <f>COUNTIFS(G5:G23,"Yes",H5:H23,"&lt;&gt;Yes")</f>
        <v>0</v>
      </c>
      <c r="E25" s="28" t="s">
        <v>649</v>
      </c>
    </row>
  </sheetData>
  <mergeCells count="3">
    <mergeCell ref="A25:C25"/>
    <mergeCell ref="A2:H2"/>
    <mergeCell ref="A1:H1"/>
  </mergeCells>
  <phoneticPr fontId="10"/>
  <conditionalFormatting sqref="H5:H23">
    <cfRule type="expression" dxfId="2" priority="1">
      <formula>$H5="Yes"</formula>
    </cfRule>
    <cfRule type="expression" dxfId="1" priority="2">
      <formula>$H5="No"</formula>
    </cfRule>
    <cfRule type="expression" dxfId="0" priority="3">
      <formula>$H5="N/A"</formula>
    </cfRule>
  </conditionalFormatting>
  <dataValidations count="1">
    <dataValidation type="list" allowBlank="1" sqref="G5:H23" xr:uid="{00000000-0002-0000-0300-000000000000}">
      <formula1>"Yes,No,N/A"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4"/>
  <sheetViews>
    <sheetView topLeftCell="A13" workbookViewId="0">
      <selection activeCell="A34" sqref="A34"/>
    </sheetView>
  </sheetViews>
  <sheetFormatPr defaultRowHeight="13.5" x14ac:dyDescent="0.15"/>
  <cols>
    <col min="1" max="1" width="62" customWidth="1"/>
    <col min="2" max="2" width="12" customWidth="1"/>
    <col min="3" max="3" width="60" customWidth="1"/>
  </cols>
  <sheetData>
    <row r="1" spans="1:3" ht="18" x14ac:dyDescent="0.25">
      <c r="A1" s="35" t="s">
        <v>650</v>
      </c>
      <c r="B1" s="34"/>
      <c r="C1" s="34"/>
    </row>
    <row r="3" spans="1:3" ht="18" customHeight="1" x14ac:dyDescent="0.25">
      <c r="A3" s="27" t="s">
        <v>651</v>
      </c>
    </row>
    <row r="4" spans="1:3" ht="15.95" customHeight="1" x14ac:dyDescent="0.15">
      <c r="A4" s="32" t="s">
        <v>652</v>
      </c>
      <c r="B4" s="32" t="s">
        <v>78</v>
      </c>
      <c r="C4" s="32" t="s">
        <v>653</v>
      </c>
    </row>
    <row r="5" spans="1:3" ht="27.95" customHeight="1" x14ac:dyDescent="0.15">
      <c r="A5" s="20" t="s">
        <v>654</v>
      </c>
      <c r="B5" s="18" t="s">
        <v>655</v>
      </c>
      <c r="C5" s="20" t="s">
        <v>656</v>
      </c>
    </row>
    <row r="6" spans="1:3" ht="15.95" customHeight="1" x14ac:dyDescent="0.15">
      <c r="A6" s="20" t="s">
        <v>657</v>
      </c>
      <c r="B6" s="18" t="s">
        <v>658</v>
      </c>
      <c r="C6" s="20" t="s">
        <v>659</v>
      </c>
    </row>
    <row r="7" spans="1:3" ht="27.95" customHeight="1" x14ac:dyDescent="0.15">
      <c r="A7" s="20" t="s">
        <v>660</v>
      </c>
      <c r="B7" s="18" t="s">
        <v>661</v>
      </c>
      <c r="C7" s="20" t="s">
        <v>662</v>
      </c>
    </row>
    <row r="8" spans="1:3" ht="27.95" customHeight="1" x14ac:dyDescent="0.15">
      <c r="A8" s="20" t="s">
        <v>663</v>
      </c>
      <c r="B8" s="18" t="s">
        <v>246</v>
      </c>
      <c r="C8" s="20" t="s">
        <v>664</v>
      </c>
    </row>
    <row r="9" spans="1:3" ht="15.95" customHeight="1" x14ac:dyDescent="0.15">
      <c r="A9" s="20" t="s">
        <v>665</v>
      </c>
      <c r="B9" s="18" t="s">
        <v>246</v>
      </c>
      <c r="C9" s="20" t="s">
        <v>666</v>
      </c>
    </row>
    <row r="10" spans="1:3" ht="15.95" customHeight="1" x14ac:dyDescent="0.15">
      <c r="A10" s="20" t="s">
        <v>667</v>
      </c>
      <c r="B10" s="18" t="s">
        <v>404</v>
      </c>
      <c r="C10" s="20" t="s">
        <v>668</v>
      </c>
    </row>
    <row r="11" spans="1:3" ht="15.95" customHeight="1" x14ac:dyDescent="0.15">
      <c r="A11" s="20" t="s">
        <v>669</v>
      </c>
      <c r="B11" s="18" t="s">
        <v>670</v>
      </c>
      <c r="C11" s="20" t="s">
        <v>671</v>
      </c>
    </row>
    <row r="12" spans="1:3" ht="15.95" customHeight="1" x14ac:dyDescent="0.15">
      <c r="A12" s="20" t="s">
        <v>672</v>
      </c>
      <c r="B12" s="18" t="s">
        <v>673</v>
      </c>
      <c r="C12" s="20" t="s">
        <v>671</v>
      </c>
    </row>
    <row r="13" spans="1:3" ht="27.95" customHeight="1" x14ac:dyDescent="0.15">
      <c r="A13" s="20" t="s">
        <v>674</v>
      </c>
      <c r="B13" s="18" t="s">
        <v>675</v>
      </c>
      <c r="C13" s="20" t="s">
        <v>676</v>
      </c>
    </row>
    <row r="14" spans="1:3" ht="15.95" customHeight="1" x14ac:dyDescent="0.15">
      <c r="A14" s="20" t="s">
        <v>677</v>
      </c>
      <c r="B14" s="18" t="s">
        <v>678</v>
      </c>
      <c r="C14" s="20" t="s">
        <v>679</v>
      </c>
    </row>
    <row r="15" spans="1:3" ht="15.95" customHeight="1" x14ac:dyDescent="0.15">
      <c r="A15" s="20" t="s">
        <v>680</v>
      </c>
      <c r="B15" s="18" t="s">
        <v>98</v>
      </c>
      <c r="C15" s="20" t="s">
        <v>681</v>
      </c>
    </row>
    <row r="16" spans="1:3" ht="15.95" customHeight="1" x14ac:dyDescent="0.15">
      <c r="A16" s="20" t="s">
        <v>682</v>
      </c>
      <c r="B16" s="18" t="s">
        <v>683</v>
      </c>
      <c r="C16" s="20"/>
    </row>
    <row r="17" spans="1:3" ht="15.95" customHeight="1" x14ac:dyDescent="0.15">
      <c r="A17" s="20" t="s">
        <v>684</v>
      </c>
      <c r="B17" s="18" t="s">
        <v>685</v>
      </c>
      <c r="C17" s="20" t="s">
        <v>686</v>
      </c>
    </row>
    <row r="18" spans="1:3" ht="15.95" customHeight="1" x14ac:dyDescent="0.15">
      <c r="A18" s="20" t="s">
        <v>687</v>
      </c>
      <c r="B18" s="18" t="s">
        <v>98</v>
      </c>
      <c r="C18" s="20" t="s">
        <v>688</v>
      </c>
    </row>
    <row r="19" spans="1:3" ht="27.95" customHeight="1" x14ac:dyDescent="0.15">
      <c r="A19" s="20" t="s">
        <v>689</v>
      </c>
      <c r="B19" s="18" t="s">
        <v>690</v>
      </c>
      <c r="C19" s="20" t="s">
        <v>691</v>
      </c>
    </row>
    <row r="20" spans="1:3" ht="15.95" customHeight="1" x14ac:dyDescent="0.15">
      <c r="A20" s="20" t="s">
        <v>692</v>
      </c>
      <c r="B20" s="18" t="s">
        <v>693</v>
      </c>
      <c r="C20" s="20" t="s">
        <v>694</v>
      </c>
    </row>
    <row r="21" spans="1:3" ht="15.95" customHeight="1" x14ac:dyDescent="0.15"/>
    <row r="22" spans="1:3" ht="18" customHeight="1" x14ac:dyDescent="0.25">
      <c r="A22" s="27" t="s">
        <v>695</v>
      </c>
    </row>
    <row r="23" spans="1:3" ht="15.95" customHeight="1" x14ac:dyDescent="0.15">
      <c r="A23" s="32" t="s">
        <v>652</v>
      </c>
      <c r="B23" s="32" t="s">
        <v>78</v>
      </c>
      <c r="C23" s="32" t="s">
        <v>696</v>
      </c>
    </row>
    <row r="24" spans="1:3" ht="15.95" customHeight="1" x14ac:dyDescent="0.15">
      <c r="A24" s="20" t="s">
        <v>697</v>
      </c>
      <c r="B24" s="18" t="s">
        <v>246</v>
      </c>
      <c r="C24" s="20" t="s">
        <v>244</v>
      </c>
    </row>
    <row r="25" spans="1:3" ht="41.1" customHeight="1" x14ac:dyDescent="0.15">
      <c r="A25" s="20" t="s">
        <v>698</v>
      </c>
      <c r="B25" s="18" t="s">
        <v>334</v>
      </c>
      <c r="C25" s="20" t="s">
        <v>699</v>
      </c>
    </row>
    <row r="26" spans="1:3" ht="15.95" customHeight="1" x14ac:dyDescent="0.15">
      <c r="A26" s="20" t="s">
        <v>700</v>
      </c>
      <c r="B26" s="18" t="s">
        <v>701</v>
      </c>
      <c r="C26" s="20" t="s">
        <v>350</v>
      </c>
    </row>
    <row r="27" spans="1:3" ht="15.95" customHeight="1" x14ac:dyDescent="0.15">
      <c r="A27" s="20" t="s">
        <v>702</v>
      </c>
      <c r="B27" s="18" t="s">
        <v>426</v>
      </c>
      <c r="C27" s="20" t="s">
        <v>703</v>
      </c>
    </row>
    <row r="28" spans="1:3" ht="27.95" customHeight="1" x14ac:dyDescent="0.15">
      <c r="A28" s="20" t="s">
        <v>704</v>
      </c>
      <c r="B28" s="18" t="s">
        <v>525</v>
      </c>
      <c r="C28" s="20" t="s">
        <v>350</v>
      </c>
    </row>
    <row r="29" spans="1:3" ht="27.95" customHeight="1" x14ac:dyDescent="0.15">
      <c r="A29" s="20" t="s">
        <v>705</v>
      </c>
      <c r="B29" s="18" t="s">
        <v>435</v>
      </c>
      <c r="C29" s="20" t="s">
        <v>433</v>
      </c>
    </row>
    <row r="30" spans="1:3" ht="15.95" customHeight="1" x14ac:dyDescent="0.15">
      <c r="A30" s="20" t="s">
        <v>706</v>
      </c>
      <c r="B30" s="18" t="s">
        <v>263</v>
      </c>
      <c r="C30" s="20" t="s">
        <v>707</v>
      </c>
    </row>
    <row r="31" spans="1:3" ht="15.95" customHeight="1" x14ac:dyDescent="0.15">
      <c r="A31" s="20" t="s">
        <v>708</v>
      </c>
      <c r="B31" s="18" t="s">
        <v>315</v>
      </c>
      <c r="C31" s="20" t="s">
        <v>709</v>
      </c>
    </row>
    <row r="32" spans="1:3" ht="27.95" customHeight="1" x14ac:dyDescent="0.15">
      <c r="A32" s="20" t="s">
        <v>710</v>
      </c>
      <c r="B32" s="18" t="s">
        <v>297</v>
      </c>
      <c r="C32" s="20" t="s">
        <v>295</v>
      </c>
    </row>
    <row r="33" spans="1:3" x14ac:dyDescent="0.15">
      <c r="A33" s="51" t="s">
        <v>717</v>
      </c>
    </row>
    <row r="34" spans="1:3" x14ac:dyDescent="0.15">
      <c r="A34" t="s">
        <v>715</v>
      </c>
      <c r="C34" s="50" t="s">
        <v>716</v>
      </c>
    </row>
  </sheetData>
  <mergeCells count="1">
    <mergeCell ref="A1:C1"/>
  </mergeCells>
  <phoneticPr fontId="1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Read me</vt:lpstr>
      <vt:lpstr>Checklist</vt:lpstr>
      <vt:lpstr>Summary</vt:lpstr>
      <vt:lpstr>Temp changes</vt:lpstr>
      <vt:lpstr>Known issues</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2026-10-20T01:10:37Z</dcterms:created>
  <dcterms:modified xsi:type="dcterms:W3CDTF">2026-10-20T04:18:00Z</dcterms:modified>
</cp:coreProperties>
</file>