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Lesson\FallenStar-Spellcasters\Docs\AI\ManualChecks\"/>
    </mc:Choice>
  </mc:AlternateContent>
  <xr:revisionPtr revIDLastSave="0" documentId="13_ncr:1_{A2F41B73-3B1B-41DC-944F-EFF6FA15F123}" xr6:coauthVersionLast="47" xr6:coauthVersionMax="47" xr10:uidLastSave="{00000000-0000-0000-0000-000000000000}"/>
  <bookViews>
    <workbookView xWindow="-120" yWindow="-120" windowWidth="38640" windowHeight="23520" activeTab="1" xr2:uid="{00000000-000D-0000-FFFF-FFFF00000000}"/>
  </bookViews>
  <sheets>
    <sheet name="Read me" sheetId="1" r:id="rId1"/>
    <sheet name="Checklist" sheetId="2" r:id="rId2"/>
    <sheet name="Summary" sheetId="3" r:id="rId3"/>
    <sheet name="Known issues" sheetId="4" r:id="rId4"/>
  </sheets>
  <definedNames>
    <definedName name="_xlnm._FilterDatabase" localSheetId="1" hidden="1">Checklist!$A$3:$N$53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3" l="1"/>
  <c r="I22" i="3"/>
  <c r="H22" i="3"/>
  <c r="G22" i="3"/>
  <c r="F22" i="3"/>
  <c r="L22" i="3" s="1"/>
  <c r="E22" i="3"/>
  <c r="J21" i="3"/>
  <c r="I21" i="3"/>
  <c r="H21" i="3"/>
  <c r="G21" i="3"/>
  <c r="F21" i="3"/>
  <c r="L21" i="3" s="1"/>
  <c r="E21" i="3"/>
  <c r="J20" i="3"/>
  <c r="I20" i="3"/>
  <c r="H20" i="3"/>
  <c r="G20" i="3"/>
  <c r="F20" i="3"/>
  <c r="L20" i="3" s="1"/>
  <c r="E20" i="3"/>
  <c r="J19" i="3"/>
  <c r="I19" i="3"/>
  <c r="H19" i="3"/>
  <c r="G19" i="3"/>
  <c r="F19" i="3"/>
  <c r="L19" i="3" s="1"/>
  <c r="E19" i="3"/>
  <c r="J18" i="3"/>
  <c r="I18" i="3"/>
  <c r="H18" i="3"/>
  <c r="G18" i="3"/>
  <c r="F18" i="3"/>
  <c r="L18" i="3" s="1"/>
  <c r="E18" i="3"/>
  <c r="J17" i="3"/>
  <c r="I17" i="3"/>
  <c r="H17" i="3"/>
  <c r="G17" i="3"/>
  <c r="F17" i="3"/>
  <c r="L17" i="3" s="1"/>
  <c r="E17" i="3"/>
  <c r="J16" i="3"/>
  <c r="I16" i="3"/>
  <c r="H16" i="3"/>
  <c r="G16" i="3"/>
  <c r="F16" i="3"/>
  <c r="L16" i="3" s="1"/>
  <c r="E16" i="3"/>
  <c r="J15" i="3"/>
  <c r="I15" i="3"/>
  <c r="H15" i="3"/>
  <c r="G15" i="3"/>
  <c r="F15" i="3"/>
  <c r="L15" i="3" s="1"/>
  <c r="E15" i="3"/>
  <c r="J14" i="3"/>
  <c r="I14" i="3"/>
  <c r="H14" i="3"/>
  <c r="G14" i="3"/>
  <c r="F14" i="3"/>
  <c r="L14" i="3" s="1"/>
  <c r="E14" i="3"/>
  <c r="J13" i="3"/>
  <c r="I13" i="3"/>
  <c r="H13" i="3"/>
  <c r="G13" i="3"/>
  <c r="F13" i="3"/>
  <c r="L13" i="3" s="1"/>
  <c r="E13" i="3"/>
  <c r="J12" i="3"/>
  <c r="I12" i="3"/>
  <c r="H12" i="3"/>
  <c r="G12" i="3"/>
  <c r="F12" i="3"/>
  <c r="L12" i="3" s="1"/>
  <c r="E12" i="3"/>
  <c r="J11" i="3"/>
  <c r="I11" i="3"/>
  <c r="H11" i="3"/>
  <c r="G11" i="3"/>
  <c r="F11" i="3"/>
  <c r="L11" i="3" s="1"/>
  <c r="E11" i="3"/>
  <c r="J10" i="3"/>
  <c r="I10" i="3"/>
  <c r="H10" i="3"/>
  <c r="G10" i="3"/>
  <c r="F10" i="3"/>
  <c r="L10" i="3" s="1"/>
  <c r="E10" i="3"/>
  <c r="J9" i="3"/>
  <c r="I9" i="3"/>
  <c r="H9" i="3"/>
  <c r="G9" i="3"/>
  <c r="F9" i="3"/>
  <c r="L9" i="3" s="1"/>
  <c r="E9" i="3"/>
  <c r="J8" i="3"/>
  <c r="I8" i="3"/>
  <c r="H8" i="3"/>
  <c r="G8" i="3"/>
  <c r="F8" i="3"/>
  <c r="L8" i="3" s="1"/>
  <c r="E8" i="3"/>
  <c r="J7" i="3"/>
  <c r="I7" i="3"/>
  <c r="H7" i="3"/>
  <c r="G7" i="3"/>
  <c r="F7" i="3"/>
  <c r="L7" i="3" s="1"/>
  <c r="E7" i="3"/>
  <c r="J6" i="3"/>
  <c r="I6" i="3"/>
  <c r="H6" i="3"/>
  <c r="G6" i="3"/>
  <c r="F6" i="3"/>
  <c r="L6" i="3" s="1"/>
  <c r="E6" i="3"/>
  <c r="J5" i="3"/>
  <c r="I5" i="3"/>
  <c r="H5" i="3"/>
  <c r="G5" i="3"/>
  <c r="F5" i="3"/>
  <c r="E5" i="3"/>
  <c r="H24" i="3" l="1"/>
  <c r="G24" i="3"/>
  <c r="N17" i="3"/>
  <c r="N12" i="3"/>
  <c r="N19" i="3"/>
  <c r="N15" i="3"/>
  <c r="K9" i="3"/>
  <c r="J24" i="3"/>
  <c r="M9" i="3"/>
  <c r="I24" i="3"/>
  <c r="N6" i="3"/>
  <c r="E24" i="3"/>
  <c r="F24" i="3"/>
  <c r="L5" i="3"/>
  <c r="M5" i="3"/>
  <c r="K5" i="3"/>
  <c r="K22" i="3"/>
  <c r="M22" i="3"/>
  <c r="M21" i="3"/>
  <c r="K21" i="3"/>
  <c r="M20" i="3"/>
  <c r="K20" i="3"/>
  <c r="M19" i="3"/>
  <c r="K19" i="3"/>
  <c r="K18" i="3"/>
  <c r="M18" i="3"/>
  <c r="M17" i="3"/>
  <c r="K17" i="3"/>
  <c r="M16" i="3"/>
  <c r="K16" i="3"/>
  <c r="M15" i="3"/>
  <c r="K15" i="3"/>
  <c r="M14" i="3"/>
  <c r="K14" i="3"/>
  <c r="M13" i="3"/>
  <c r="K13" i="3"/>
  <c r="K12" i="3"/>
  <c r="M12" i="3"/>
  <c r="K11" i="3"/>
  <c r="M11" i="3"/>
  <c r="M10" i="3"/>
  <c r="K10" i="3"/>
  <c r="M8" i="3"/>
  <c r="K8" i="3"/>
  <c r="M7" i="3"/>
  <c r="K7" i="3"/>
  <c r="M6" i="3"/>
  <c r="K6" i="3"/>
  <c r="N21" i="3"/>
  <c r="N18" i="3"/>
  <c r="N8" i="3"/>
  <c r="N7" i="3"/>
  <c r="N16" i="3"/>
  <c r="N9" i="3"/>
  <c r="N14" i="3"/>
  <c r="N13" i="3"/>
  <c r="N11" i="3"/>
  <c r="N10" i="3"/>
  <c r="N22" i="3"/>
  <c r="N20" i="3"/>
  <c r="M24" i="3" l="1"/>
  <c r="L24" i="3"/>
  <c r="N24" i="3" s="1"/>
  <c r="N5" i="3"/>
  <c r="K24" i="3"/>
</calcChain>
</file>

<file path=xl/sharedStrings.xml><?xml version="1.0" encoding="utf-8"?>
<sst xmlns="http://schemas.openxmlformats.org/spreadsheetml/2006/main" count="802" uniqueCount="368">
  <si>
    <t>QA checklist for Issue Report #15</t>
  </si>
  <si>
    <t>About</t>
  </si>
  <si>
    <t>Date / baseline</t>
  </si>
  <si>
    <t>2026-10-24. HEAD = ff8a9dd ('N32-35, N54-58') plus the uncommitted working tree: Codex's implementation of TASK-N59_N61_F1, TASK-F4_F6_N36 and TASK-UI7. Line numbers are from the working tree.</t>
  </si>
  <si>
    <t>Sources</t>
  </si>
  <si>
    <t>Issue Report #15 §1 (Docs/AI/Reports/2026-10-24_IssueReport-15.md), §9 of the three specs (Docs/AI/Tasks/), and Codex's report 2026-10-24_N59_N61_F1_F4_F6_N36_UI7_Implementation.md §6.</t>
  </si>
  <si>
    <t>Code review (Claude)</t>
  </si>
  <si>
    <t>I checked Codex's diff against each spec: it matches. One small finding, N62, is my spec's fault (report #15 §2); row C1.4 records it.
• Codex's harness measured N61 (2 Lobby loads before, 1 after) and N36 (a phase ended 0.67–0.68 s late after a 1 s stall before; at most 0.006 s after).
• Its release build succeeded. I didn't run Unity myself. No harness can play a real remote client, so this checklist is the real test.</t>
  </si>
  <si>
    <t>Why</t>
  </si>
  <si>
    <t>When this checklist passes, the three tasks can be committed and N59, N61, N36, F1, F4, F6 and UI7 close. Then Codex can start the two new tasks (the mane and the HUD polish).</t>
  </si>
  <si>
    <t>Who runs it</t>
  </si>
  <si>
    <t>The developer: A–E and H in two Unity Editors (ParrelSync), G with a new Windows build plus an Editor.</t>
  </si>
  <si>
    <t>Order</t>
  </si>
  <si>
    <t>A → C → D in a few matches (they can share matches). B (network off) whenever convenient. D4 needs a temporary code change: do it last among D, and undo it. Then E (menus), G (build), H at the end.</t>
  </si>
  <si>
    <t>How to report</t>
  </si>
  <si>
    <t>1. Set Status on every row of the Checklist sheet. The Summary sheet updates by itself.
2. For every Fail, paste the Console text (error plus stack trace) into 'Console output / notes'. For a visual Fail, save a screenshot and write its file name there.
3. For A4.1 and A4.2, write the clock time of the Disconnect: I count the scene loads in Editor.log.
4. If you run rows on your second machine, write 'PC 2' in Tested by.
5. New problems you notice: add them at the bottom of the Known issues sheet ('Found during the checks'). I read every sheet.
6. Tell Claude when you're done.</t>
  </si>
  <si>
    <t>Legend</t>
  </si>
  <si>
    <t>Cells to fill in</t>
  </si>
  <si>
    <t>Only the yellow cells on the Checklist sheet: Status, Tested by, Date, Console output / notes. Everything else is reference text or formulas.</t>
  </si>
  <si>
    <t>Pass</t>
  </si>
  <si>
    <t>Every expected result in the row was seen.</t>
  </si>
  <si>
    <t>Fail</t>
  </si>
  <si>
    <t>At least one expected result wasn't seen, or a new error appeared. Add the Console text or a screenshot name. (Typing False also counts as Fail.)</t>
  </si>
  <si>
    <t>Blocked</t>
  </si>
  <si>
    <t>The row couldn't be run (e.g. an earlier failure, no Fireball drawn). Say why in the notes.</t>
  </si>
  <si>
    <t>Not run</t>
  </si>
  <si>
    <t>Skipped on purpose. Fine for optional rows; for a required row it keeps the group open.</t>
  </si>
  <si>
    <t>N/A</t>
  </si>
  <si>
    <t>Doesn't apply in this setup. Counts like a Pass for the group result.</t>
  </si>
  <si>
    <t>Optional = Yes</t>
  </si>
  <si>
    <t>Optional rows don't hold back a group's Pass result.</t>
  </si>
  <si>
    <t>Grey text</t>
  </si>
  <si>
    <t>In a group's second and later rows, Check / Covers / Task / Run as / Size repeat the first row so that filtering works.</t>
  </si>
  <si>
    <t>Preparation</t>
  </si>
  <si>
    <t>1. The clone with its own log</t>
  </si>
  <si>
    <t>2. Console</t>
  </si>
  <si>
    <t>In both Editors, open the Console: Collapse off, Clear on Play on.</t>
  </si>
  <si>
    <t>3. Clean start</t>
  </si>
  <si>
    <t>Both Editors in English unless a row says otherwise. git status may show the font asset and DefaultNetworkPrefabs.asset as modified: that's fine during the checks (see 'Before you commit').</t>
  </si>
  <si>
    <t>4. Start a match</t>
  </si>
  <si>
    <t>Log in and go to the Lobby in both windows. The main Editor presses Create Lobby: from now on it's the host window. The clone presses Find Lobby, selects the lobby and presses Join: it's the client window. The host presses Start game.</t>
  </si>
  <si>
    <t>5. Game view</t>
  </si>
  <si>
    <t>1920×1080 in both Editors for A–D. Section E uses the presets listed in its header.</t>
  </si>
  <si>
    <t>Useful facts</t>
  </si>
  <si>
    <t>Table sides</t>
  </si>
  <si>
    <t>Both windows look at the table from the same camera. The HOST's cards, pony and blocks are on the LEFT (red side); the CLIENT's on the RIGHT (blue side).</t>
  </si>
  <si>
    <t>The message box (new)</t>
  </si>
  <si>
    <t>Login and Lobby show messages in a dark box at the top (Lobby) or above the buttons (Login) for 6 s. A newer message replaces an older one. It survives a scene change.</t>
  </si>
  <si>
    <t>The hint line (new)</t>
  </si>
  <si>
    <t>In a match, the yellow line under the announcer shows hints for 2 s: 'Pick a played card in the bottom row first.', 'Choose a target and press Confirm before Send.', 'It's your opponent's turn.', 'The deck ran out: a new deck was shuffled.'</t>
  </si>
  <si>
    <t>Casting</t>
  </si>
  <si>
    <t>In your Player action: left-click the played card in the BOTTOM HUD ROW → click the target on the table → Confirm → Send. Self cards (Healing Hooves, Clarity) choose their target automatically.</t>
  </si>
  <si>
    <t>Phases (en)</t>
  </si>
  <si>
    <t>Line 1 of the announcer: 'Round preparation' (5 s), 'Drawing cards' (about 3 s, new), 'Card Selection' (60 s), 'Player action' (60 s per player), 'Waiting for respawn' (30 s).</t>
  </si>
  <si>
    <t>Controls</t>
  </si>
  <si>
    <t>Hand cards: left-click = play, right-click = discard. Confirm Turn confirms the selection in Card Selection, ends your Player action, and confirms the respawn block in Waiting for respawn. W/A/S/D = one step (own Player action). Space = −10 HP to yourself (own Player action; Editor and development builds only).</t>
  </si>
  <si>
    <t>Cards (en / ru)</t>
  </si>
  <si>
    <t>Ice Shard / Ледяной осколок: 2 mana, 20 damage to the opponent's pony. Fireball / Огненный шар: 3 mana, 50 damage to an opponent block. Clarity / Ясность: 3 mana, draw 2. Healing Hooves / Исцеляющие копыта: 4 mana, heal yourself 30.</t>
  </si>
  <si>
    <t>Numbers</t>
  </si>
  <si>
    <t>Pony HP 100, block HP 100 (50 with T1), 3 lives, 25 blocks per player (1 with T1). Mana 2 → 4 → 6 … up to 20. 2 new cards per player per round. Hand limit 10. Deck 84 cards.</t>
  </si>
  <si>
    <t>Result texts (en)</t>
  </si>
  <si>
    <t>Titles: 'Victory!', 'Defeat', 'Draw'. Reasons: 'Your opponent left the match.', 'You left the match.', 'Your opponent lost all their lives.', 'You lost all your lives.', 'Both players lost all their lives.', and new: 'All your opponent's blocks were destroyed.', 'All your blocks were destroyed.'</t>
  </si>
  <si>
    <t>Kill a pony at any moment</t>
  </si>
  <si>
    <t>In the HOST window's Scene view, select the pony (PonyBase(Clone)) and drag it sideways off its platform, or add about 20 to its Transform Position X or Z. It falls into the lava and dies. Host window only: the lava check runs on the server.</t>
  </si>
  <si>
    <t>Switch language</t>
  </si>
  <si>
    <t>Main menu → Settings (remembered). In the lobby or during a match: Window → Asset Management → Localization Scene Controls → Active Locale.</t>
  </si>
  <si>
    <t>Player build</t>
  </si>
  <si>
    <t>Build to C:\Lesson\Spellcasters.Build\ (row G1.1). Its log: %USERPROFILE%\AppData\LocalLow\DefaultCompany\FallenStar-Spellcasters\Player.log (moved to Player-prev.log at each start). Make a NEW build: an older build can't play against today's Editor (two new RPCs).</t>
  </si>
  <si>
    <t>Changes from the last checklist (2026-10-23)</t>
  </si>
  <si>
    <t>IDs</t>
  </si>
  <si>
    <t>New numbering: A–H here aren't last round's A–I.</t>
  </si>
  <si>
    <t>Last round's results</t>
  </si>
  <si>
    <t>All 38 rows passed (report #14). N54, N57, N56, N55, N58, N32, N33, N34 and N35 are closed.</t>
  </si>
  <si>
    <t>Your poll answers</t>
  </si>
  <si>
    <t>Q3 = a: the client sees 'Connection to the host was lost.' also when the host leaves the lobby on purpose (A2.1).</t>
  </si>
  <si>
    <t>Before you commit</t>
  </si>
  <si>
    <t>1. Language</t>
  </si>
  <si>
    <t>Set both Editors back to English.</t>
  </si>
  <si>
    <t>2. The font</t>
  </si>
  <si>
    <t>With both Editors closed: git restore "Assets/Fonts/MPLUSRounded1c-Medium SDF.asset"</t>
  </si>
  <si>
    <t>3. Network prefab list</t>
  </si>
  <si>
    <t>git restore Assets/DefaultNetworkPrefabs.asset  (only its line endings changed; the content is identical).</t>
  </si>
  <si>
    <t>4. T1</t>
  </si>
  <si>
    <t>git status must show GameMaster.Spawn.cs unmodified (D4.3).</t>
  </si>
  <si>
    <t>QA checklist: N59, N61, F1, F4, F6, N36 and UI7 (Issue Report #15)</t>
  </si>
  <si>
    <t>Baseline ff8a9dd plus the working tree (2026-10-24): Codex's three tasks. Fill in only the yellow cells. Optional rows don't hold back a group.</t>
  </si>
  <si>
    <t>ID</t>
  </si>
  <si>
    <t>Group</t>
  </si>
  <si>
    <t>Check</t>
  </si>
  <si>
    <t>Covers</t>
  </si>
  <si>
    <t>Task</t>
  </si>
  <si>
    <t>Run as</t>
  </si>
  <si>
    <t>Size</t>
  </si>
  <si>
    <t>Steps</t>
  </si>
  <si>
    <t>Expected result</t>
  </si>
  <si>
    <t>Optional</t>
  </si>
  <si>
    <t>Status</t>
  </si>
  <si>
    <t>Tested by</t>
  </si>
  <si>
    <t>Date</t>
  </si>
  <si>
    <t>Console output / notes</t>
  </si>
  <si>
    <t>A. Lost host and leaving. Two Editors; main = host, clone = client (Read me → Preparation).</t>
  </si>
  <si>
    <t>A1.1</t>
  </si>
  <si>
    <t>A1</t>
  </si>
  <si>
    <t>Client: a message when the host is gone mid-match</t>
  </si>
  <si>
    <t>N59</t>
  </si>
  <si>
    <t>N59_N61_F1</t>
  </si>
  <si>
    <t>Client</t>
  </si>
  <si>
    <t>1920×1080</t>
  </si>
  <si>
    <t>Start a match (Read me → Preparation 4). In Card Selection, stop Play Mode in the HOST (main) Editor. Watch the client window.</t>
  </si>
  <si>
    <t>The client goes back to the Lobby and shows 'Connection to the host was lost.' at the top for about 6 s; then the box disappears. No exception in the clone Console.</t>
  </si>
  <si>
    <t>A1.2</t>
  </si>
  <si>
    <t>Repeat A1.1 with the CLIENT in Russian (Read me → Switch language, before Start game).</t>
  </si>
  <si>
    <t>'Соединение с хостом потеряно.'</t>
  </si>
  <si>
    <t>A1.3</t>
  </si>
  <si>
    <t>Repeat A1.1 with the client in Japanese.</t>
  </si>
  <si>
    <t>'ホストとの接続が切れました。' in two lines at most, fully inside its box.</t>
  </si>
  <si>
    <t>Yes</t>
  </si>
  <si>
    <t>A2.1</t>
  </si>
  <si>
    <t>A2</t>
  </si>
  <si>
    <t>Client: the same message when the host leaves the lobby</t>
  </si>
  <si>
    <t>The host creates a lobby, the client joins. The HOST presses Disconnect in the current-lobby view.</t>
  </si>
  <si>
    <t>The client is back in the lobby search view with 'Connection to the host was lost.' (You kept this text: poll Q3 = a.)</t>
  </si>
  <si>
    <t>A3.1</t>
  </si>
  <si>
    <t>A3</t>
  </si>
  <si>
    <t>No message when nothing went wrong</t>
  </si>
  <si>
    <t>N59, F1</t>
  </si>
  <si>
    <t>Both</t>
  </si>
  <si>
    <t>The client joins a lobby, then the CLIENT presses Disconnect.</t>
  </si>
  <si>
    <t>The client is back in the search view with NO message. The host stays in its lobby, also without a message.</t>
  </si>
  <si>
    <t>A3.2</t>
  </si>
  <si>
    <t>Start a match. The CLIENT presses Leave match → Leave. Then both: Result → Main menu → Lobby.</t>
  </si>
  <si>
    <t>Results as before (client 'Defeat' / 'You left the match.', host 'Victory!' / 'Your opponent left the match.'). No message box in the Lobby, in either window.</t>
  </si>
  <si>
    <t>A3.3</t>
  </si>
  <si>
    <t>After D3.1's normal match end: Result → Main menu → Lobby in both windows.</t>
  </si>
  <si>
    <t>No message box in the Lobby.</t>
  </si>
  <si>
    <t>A4.1</t>
  </si>
  <si>
    <t>A4</t>
  </si>
  <si>
    <t>Host: one Lobby load after leaving</t>
  </si>
  <si>
    <t>N61</t>
  </si>
  <si>
    <t>Host</t>
  </si>
  <si>
    <t>The host creates a lobby with NO client and presses Disconnect. Write the clock time (hh:mm:ss) in the notes.</t>
  </si>
  <si>
    <t>The host is back in the search view once, without a flicker or a second reload. (I count the LobbyScene loads in Editor.log at your time: expected one.)</t>
  </si>
  <si>
    <t>A4.2</t>
  </si>
  <si>
    <t>Again with a client joined: the host presses Disconnect. Write the time.</t>
  </si>
  <si>
    <t>The host is back once. The client shows A2.1's message.</t>
  </si>
  <si>
    <t>A5.1</t>
  </si>
  <si>
    <t>A5</t>
  </si>
  <si>
    <t>Host: 'match cancelled' message</t>
  </si>
  <si>
    <t>F1</t>
  </si>
  <si>
    <t>Host presses Start game; right away stop Play Mode in the CLIENT Editor while the game scene loads. If the match starts anyway, mark Blocked and try once more.</t>
  </si>
  <si>
    <t>The host goes back to the Lobby with 'The match couldn't continue and was cancelled.'</t>
  </si>
  <si>
    <t>B. Messages when the network is off (optional). One Editor is enough.</t>
  </si>
  <si>
    <t>B1.1</t>
  </si>
  <si>
    <t>B1</t>
  </si>
  <si>
    <t>Lobby and login failures show a message</t>
  </si>
  <si>
    <t>Log in and open the Lobby. Turn the PC's network off (Wi-Fi off or cable out). Press Find Lobby.</t>
  </si>
  <si>
    <t>'Couldn't load the lobby list. Try again.' for about 6 s. The status still says no lobby was found.</t>
  </si>
  <si>
    <t>B1.2</t>
  </si>
  <si>
    <t>Still offline, press Create Lobby.</t>
  </si>
  <si>
    <t>'Couldn't create a lobby. Check your connection and try again.' You stay in the search view.</t>
  </si>
  <si>
    <t>B1.3</t>
  </si>
  <si>
    <t>Stop Play Mode, start again (LoginScene), still offline, press Login anonymous. Turn the network back on afterwards.</t>
  </si>
  <si>
    <t>'Couldn't sign in. Check your connection and try again.' You stay on the Login screen.</t>
  </si>
  <si>
    <t>C. Hints in a match. Two Editors.</t>
  </si>
  <si>
    <t>C1.1</t>
  </si>
  <si>
    <t>C1</t>
  </si>
  <si>
    <t>Hints for ignored buttons</t>
  </si>
  <si>
    <t>In your own Player action, press Confirm with no played card picked.</t>
  </si>
  <si>
    <t>The yellow line under the announcer: 'Pick a played card in the bottom row first.' (about 2 s).</t>
  </si>
  <si>
    <t>C1.2</t>
  </si>
  <si>
    <t>In your own Player action, pick a played card in the bottom row, don't confirm a target, press Send.</t>
  </si>
  <si>
    <t>'Choose a target and press Confirm before Send.' Nothing is cast.</t>
  </si>
  <si>
    <t>C1.3</t>
  </si>
  <si>
    <t>During the OPPONENT's Player action, press Confirm Turn. Do it once in each window.</t>
  </si>
  <si>
    <t>'It's your opponent's turn.' The opponent's countdown keeps running; their action doesn't end early.</t>
  </si>
  <si>
    <t>C1.4</t>
  </si>
  <si>
    <t>During the opponent's Player action, press Send.</t>
  </si>
  <si>
    <t>Known (N62, fixed by the next task): it shows 'Choose a target and press Confirm before Send.' Pass if you see that; write the message you saw.</t>
  </si>
  <si>
    <t>C1.5</t>
  </si>
  <si>
    <t>In your own Player action, press Confirm Turn.</t>
  </si>
  <si>
    <t>Your action ends as before.</t>
  </si>
  <si>
    <t>C2.1</t>
  </si>
  <si>
    <t>C2</t>
  </si>
  <si>
    <t>Deck refilled</t>
  </si>
  <si>
    <t>Only if a match lasts long enough to use up the deck (84 cards): watch both windows at the next draw.</t>
  </si>
  <si>
    <t>Both show 'The deck ran out: a new deck was shuffled.'</t>
  </si>
  <si>
    <t>D. Draw phase, timers, blocks. Two Editors.</t>
  </si>
  <si>
    <t>D1.1</t>
  </si>
  <si>
    <t>D1</t>
  </si>
  <si>
    <t>The 'Drawing cards' phase</t>
  </si>
  <si>
    <t>F4</t>
  </si>
  <si>
    <t>F4_F6_N36</t>
  </si>
  <si>
    <t>Watch three rounds in both windows.</t>
  </si>
  <si>
    <t>'Round preparation' (5 s) → 'Drawing cards' (about 3 s) while the hand fills one card at a time, alternating players → 'Card Selection'.</t>
  </si>
  <si>
    <t>D1.2</t>
  </si>
  <si>
    <t>During 'Drawing cards', press Confirm Turn.</t>
  </si>
  <si>
    <t>Nothing happens: no message, the phase goes on.</t>
  </si>
  <si>
    <t>D1.3</t>
  </si>
  <si>
    <t>One round in ru and one in ja.</t>
  </si>
  <si>
    <t>'Добор карт' / 'カードドロー' with the countdown.</t>
  </si>
  <si>
    <t>D2.1</t>
  </si>
  <si>
    <t>D2</t>
  </si>
  <si>
    <t>Countdown and phase change agree</t>
  </si>
  <si>
    <t>N36</t>
  </si>
  <si>
    <t>Watch the countdown at the end of the first Round preparation after the match loads, then at every phase change for three rounds, in both windows.</t>
  </si>
  <si>
    <t>When the countdown reaches 00 the phase changes at once. '00' may flash for a frame; it never stays.</t>
  </si>
  <si>
    <t>D2.2</t>
  </si>
  <si>
    <t>About 20 s into a Player action, kill the active player's pony (Read me → Kill a pony). Confirm the respawn block.</t>
  </si>
  <si>
    <t>'Waiting for respawn', then the Player action continues from about where it stopped (e.g. 40), not from 60, and ends at 00. The pony respawns (it still had blocks).</t>
  </si>
  <si>
    <t>D3.1</t>
  </si>
  <si>
    <t>D3</t>
  </si>
  <si>
    <t>A normal match end is unchanged</t>
  </si>
  <si>
    <t>F6</t>
  </si>
  <si>
    <t>Play a match to the end by lives (kill one pony three times with the lava trick).</t>
  </si>
  <si>
    <t>'Victory!' / 'Your opponent lost all their lives.' and 'Defeat' / 'You lost all your lives.' as before.</t>
  </si>
  <si>
    <t>D4.1</t>
  </si>
  <si>
    <t>D4</t>
  </si>
  <si>
    <t>Losing the last block ends the match</t>
  </si>
  <si>
    <t>Temporary change T1, both Editors closed. git status: GameMaster.Spawn.cs unmodified. In CreateBlock, add as the first line of the inner loop: if (i != 2 || j != 2) continue;  and change the Initialize call to _blockController.Initialize(session, 50);  Save.</t>
  </si>
  <si>
    <t>git status shows only GameMaster.Spawn.cs as your temporary change.</t>
  </si>
  <si>
    <t>D4.2</t>
  </si>
  <si>
    <t>Start a match: each player has one block. In the host's Player action, cast a Fireball at the client's block (it may take a few rounds to draw one).</t>
  </si>
  <si>
    <t>The client's pony disappears. Host: 'Victory!' / 'All your opponent's blocks were destroyed.' Client: 'Defeat' / 'All your blocks were destroyed.'</t>
  </si>
  <si>
    <t>D4.3</t>
  </si>
  <si>
    <t>Undo: close both Editors and run  git restore Assets/Scripts/InGame/GameMaster/GameMaster.Spawn.cs</t>
  </si>
  <si>
    <t>git status shows GameMaster.Spawn.cs unmodified.</t>
  </si>
  <si>
    <t>E. Compact menus (UI7). Game view presets 640×480, 1024×768, 1280×720, 1366×768, 1920×1080.</t>
  </si>
  <si>
    <t>E1.1</t>
  </si>
  <si>
    <t>E1</t>
  </si>
  <si>
    <t>Every menu in the compact layout</t>
  </si>
  <si>
    <t>UI7</t>
  </si>
  <si>
    <t>1280×720</t>
  </si>
  <si>
    <t>en, 1280×720: Login, Main menu, Settings, Lobby (search view with a lobby listed; current-lobby view with two players), Result (after a match).</t>
  </si>
  <si>
    <t>Every text readable, nothing cut or overlapping, buttons easy to click.</t>
  </si>
  <si>
    <t>E1.2</t>
  </si>
  <si>
    <t>640×480</t>
  </si>
  <si>
    <t>The same menus in ru at 640×480.</t>
  </si>
  <si>
    <t>As E1.1.</t>
  </si>
  <si>
    <t>E1.3</t>
  </si>
  <si>
    <t>1024×768</t>
  </si>
  <si>
    <t>The same menus in ja at 1024×768.</t>
  </si>
  <si>
    <t>E2.1</t>
  </si>
  <si>
    <t>E2</t>
  </si>
  <si>
    <t>The normal layout above 1366</t>
  </si>
  <si>
    <t>1366×768</t>
  </si>
  <si>
    <t>Every menu at 1366×768 and at 1920×1080.</t>
  </si>
  <si>
    <t>Exactly as before UI7, except the taller message box (E4.1).</t>
  </si>
  <si>
    <t>E2.2</t>
  </si>
  <si>
    <t>Switch</t>
  </si>
  <si>
    <t>With a menu open, switch the Game view between 1280×720 and 1920×1080 a few times.</t>
  </si>
  <si>
    <t>The layout switches at once, both ways, without a reload.</t>
  </si>
  <si>
    <t>E3.1</t>
  </si>
  <si>
    <t>E3</t>
  </si>
  <si>
    <t>Settings: the resolution list</t>
  </si>
  <si>
    <t>Settings at 640×480: open the Language, Display mode and Resolution dropdowns.</t>
  </si>
  <si>
    <t>Each list opens fully and can be scrolled and clicked. Resolution offers sizes down to 640×480 (only the modes your monitor reports).</t>
  </si>
  <si>
    <t>E4.1</t>
  </si>
  <si>
    <t>E4</t>
  </si>
  <si>
    <t>Your approved exceptions look right</t>
  </si>
  <si>
    <t>Show a Lobby message (A2.1 or B1.1) in ja at 1920×1080 and at 1280×720.</t>
  </si>
  <si>
    <t>The box (104 units tall, approved by you in Codex's session) holds the text and covers no button.</t>
  </si>
  <si>
    <t>E4.2</t>
  </si>
  <si>
    <t>Current-lobby view with two players, ja, 1280×720.</t>
  </si>
  <si>
    <t>The role label 'クライアント' is readable (approved low width 150).</t>
  </si>
  <si>
    <t>G. A new release build against an Editor.</t>
  </si>
  <si>
    <t>G1.1</t>
  </si>
  <si>
    <t>G1</t>
  </si>
  <si>
    <t>Release build: menus, lost host, clean log</t>
  </si>
  <si>
    <t>UI7, N59, F1</t>
  </si>
  <si>
    <t>All</t>
  </si>
  <si>
    <t>Build</t>
  </si>
  <si>
    <t>—</t>
  </si>
  <si>
    <t>File → Build Profiles → Windows, Development Build OFF → Build to C:\Lesson\Spellcasters.Build (replace the old build). Start it. If Windows asks about the firewall, allow private networks.</t>
  </si>
  <si>
    <t>The build succeeds and starts at the Login screen.</t>
  </si>
  <si>
    <t>G1.2</t>
  </si>
  <si>
    <t>In the build: Settings → Display mode Windowed, Resolution 800×600; then your desktop size.</t>
  </si>
  <si>
    <t>800×600: the compact layout at once. Desktop size: the normal layout.</t>
  </si>
  <si>
    <t>G1.3</t>
  </si>
  <si>
    <t>Build = host, Editor = client. Start a match, and mid-match close the build with X.</t>
  </si>
  <si>
    <t>The Editor client goes back to the Lobby with 'Connection to the host was lost.'</t>
  </si>
  <si>
    <t>G1.4</t>
  </si>
  <si>
    <t>Search Player.log (Read me → Player build) for each of: Card clicked · DespawnBlock · SetLobbyCode · Lobby code · FindAvailableLobbies · Applied mane material · DrawPhase started · Draw phase ended · new GameLoop started · Host shutdown finished · lost all blocks · Rpc called</t>
  </si>
  <si>
    <t>None appears. 'Invalid mane material index.' still does (N27, next task).</t>
  </si>
  <si>
    <t>G1.5</t>
  </si>
  <si>
    <t>Search Player.log for 'Exception'.</t>
  </si>
  <si>
    <t>No exception from game code.</t>
  </si>
  <si>
    <t>H. Both Editor logs, after A–E.</t>
  </si>
  <si>
    <t>H1.1</t>
  </si>
  <si>
    <t>H1</t>
  </si>
  <si>
    <t>Editor logs are clean</t>
  </si>
  <si>
    <t>Search the main Editor's log (%LOCALAPPDATA%\Unity\Editor\Editor.log) and C:\Lesson\clone-editor.log for 'Exception'.</t>
  </si>
  <si>
    <t>H1.2</t>
  </si>
  <si>
    <t>Look for any NGO warning that names SpawnPoint or a nested NetworkObject (U2), or an NGO error when you stop Play Mode.</t>
  </si>
  <si>
    <t>Write what you saw, or 'none'.</t>
  </si>
  <si>
    <t>Results summary</t>
  </si>
  <si>
    <t>Calculated from the Checklist sheet; don't edit. Result: Fail if any row failed; Blocked if any row is blocked; Pass when every required row is Pass or N/A.</t>
  </si>
  <si>
    <t>Items</t>
  </si>
  <si>
    <t>Required</t>
  </si>
  <si>
    <t>Not run / empty</t>
  </si>
  <si>
    <t>Open (required)</t>
  </si>
  <si>
    <t>Done %</t>
  </si>
  <si>
    <t>Result</t>
  </si>
  <si>
    <t>Overall</t>
  </si>
  <si>
    <t>What you may see during the checks</t>
  </si>
  <si>
    <t>Known and expected: don't mark a row Fail for these</t>
  </si>
  <si>
    <t>You see</t>
  </si>
  <si>
    <t>Notes</t>
  </si>
  <si>
    <t>Send during the opponent's Player action says 'Choose a target and press Confirm before Send.'</t>
  </si>
  <si>
    <t>N62</t>
  </si>
  <si>
    <t>Known; fixed by TASK-F9_F14a_N62. Row C1.4 records it.</t>
  </si>
  <si>
    <t>The warning 'Invalid mane material index.' on every pony spawn (also in the release Player.log).</t>
  </si>
  <si>
    <t>N27</t>
  </si>
  <si>
    <t>Expected until TASK-N27 puts the mane on the pony.</t>
  </si>
  <si>
    <t>Many debug lines in the Editor Console (phases, 'Card clicked', 'DespawnBlock' …).</t>
  </si>
  <si>
    <t>N34</t>
  </si>
  <si>
    <t>Expected in the Editor. Only release builds must be quiet (G1.4).</t>
  </si>
  <si>
    <t>'No card selected for control package.' / 'Send ignored: …' warnings next to the new hints.</t>
  </si>
  <si>
    <t>Expected: the warnings stay, the hints are new.</t>
  </si>
  <si>
    <t>'Only active player can confirm action phase.'</t>
  </si>
  <si>
    <t>Should now be rare: the client doesn't send Confirm Turn during the opponent's action any more. Note it if you see it.</t>
  </si>
  <si>
    <t>'Remote client disconnected. Host continue' when the opponent leaves.</t>
  </si>
  <si>
    <t>H6</t>
  </si>
  <si>
    <t>Expected: the forfeit path.</t>
  </si>
  <si>
    <t>'Bootstrap: No saved language code found.' on the very first start.</t>
  </si>
  <si>
    <t>M12</t>
  </si>
  <si>
    <t>Expected until a language is picked once.</t>
  </si>
  <si>
    <t>The message box at the top of the Lobby overlaps the top edge of the lobby panel by a few pixels at 1920×1080.</t>
  </si>
  <si>
    <t>Accepted with your 104-unit exception (E4.1).</t>
  </si>
  <si>
    <t>The big card appears and disappears at once (no fade).</t>
  </si>
  <si>
    <t>F9</t>
  </si>
  <si>
    <t>Planned: TASK-F9_F14a_N62.</t>
  </si>
  <si>
    <t>HP, Life and Mana are hard to read over the lava.</t>
  </si>
  <si>
    <t>F14</t>
  </si>
  <si>
    <t>Planned: dark boxes in TASK-F9_F14a_N62.</t>
  </si>
  <si>
    <t>With 10 cards the hand cards overlap a little; the right card takes the click.</t>
  </si>
  <si>
    <t>UI3</t>
  </si>
  <si>
    <t>By design.</t>
  </si>
  <si>
    <t>The lobby player item shows the short ID as the name and the full ID under it.</t>
  </si>
  <si>
    <t>N29</t>
  </si>
  <si>
    <t>Parked by you.</t>
  </si>
  <si>
    <t>MPLUSRounded1c-Medium SDF.asset shows as modified in git status after ru/ja text rendered.</t>
  </si>
  <si>
    <t>N28</t>
  </si>
  <si>
    <t>Expected in the Editor. Restore it before committing (Read me → Before you commit).</t>
  </si>
  <si>
    <t>Assets/DefaultNetworkPrefabs.asset shows as modified in git status.</t>
  </si>
  <si>
    <t>Line endings only (Codex's restore). Restore it before committing (Read me → Before you commit).</t>
  </si>
  <si>
    <t>Fixed in this round: mark the row Fail if you see these</t>
  </si>
  <si>
    <t>Checked in</t>
  </si>
  <si>
    <t>The client lands in the Lobby with no message after the host quits, crashes or leaves.</t>
  </si>
  <si>
    <t>A1, A2, G1.3</t>
  </si>
  <si>
    <t>The host's Lobby loads twice (a visible flicker) after its own Disconnect.</t>
  </si>
  <si>
    <t>A failure, an ignored Confirm / Confirm Turn, or a deck refill shows nothing on screen.</t>
  </si>
  <si>
    <t>B, C</t>
  </si>
  <si>
    <t>'Round preparation' still shows while cards are dealt.</t>
  </si>
  <si>
    <t>The countdown shows 00 while the phase goes on.</t>
  </si>
  <si>
    <t>Destroying all of a player's blocks doesn't end the match.</t>
  </si>
  <si>
    <t>Menus cut off or overlapping below 1366 px wide; Settings can't go below 1024×720.</t>
  </si>
  <si>
    <t>E, G1.2</t>
  </si>
  <si>
    <t>Found during the checks (add your own rows here)</t>
  </si>
  <si>
    <t>What you saw</t>
  </si>
  <si>
    <t>Row / when</t>
  </si>
  <si>
    <t>Console text, screenshot</t>
  </si>
  <si>
    <t>Start the clone from PowerShell, so that it writes its own log:
&amp; 'C:\Program Files\Unity\Hub\Editor\6000.3.13f1\Editor\Unity.exe' -projectPath 'C:\Lesson\FallenStar-Spellcasters_clone_1' -logFile 'C:\Lesson\clone-editor.log'
Open the main project as usual. The clone shares Assets, so it runs the same code.</t>
    <phoneticPr fontId="9"/>
  </si>
  <si>
    <t>Owner</t>
    <phoneticPr fontId="9"/>
  </si>
  <si>
    <t>owner</t>
    <phoneticPr fontId="9"/>
  </si>
  <si>
    <t>16:58:36; Once Unity.Services.Lobbies.LobbyServiceException: lobby not found; Cant reproduce rn</t>
    <phoneticPr fontId="9"/>
  </si>
  <si>
    <t>Can't reproduce. Load scene too fast</t>
    <phoneticPr fontId="9"/>
  </si>
  <si>
    <t>Whole block can't be running. Cant connect to Unity.Services.Lobbies (error in logs)</t>
    <phoneticPr fontId="9"/>
  </si>
  <si>
    <t>none</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</si>
</sst>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ＭＳ Ｐゴシック"/>
      <family val="2"/>
      <scheme val="minor"/>
    </font>
    <font>
      <b/>
      <sz val="12"/>
      <color rgb="FF000000"/>
      <name val="Arial"/>
    </font>
    <font>
      <b/>
      <sz val="10"/>
      <color rgb="FF000000"/>
      <name val="Arial"/>
    </font>
    <font>
      <sz val="10"/>
      <color rgb="FF000000"/>
      <name val="Arial"/>
    </font>
    <font>
      <b/>
      <sz val="14"/>
      <color rgb="FF000000"/>
      <name val="Arial"/>
    </font>
    <font>
      <i/>
      <sz val="10"/>
      <color rgb="FF000000"/>
      <name val="Arial"/>
    </font>
    <font>
      <b/>
      <sz val="10"/>
      <color rgb="FFFFFFFF"/>
      <name val="Arial"/>
    </font>
    <font>
      <b/>
      <sz val="11"/>
      <color rgb="FF000000"/>
      <name val="Arial"/>
    </font>
    <font>
      <sz val="10"/>
      <color rgb="FF808080"/>
      <name val="Arial"/>
    </font>
    <font>
      <sz val="6"/>
      <name val="ＭＳ Ｐゴシック"/>
      <family val="3"/>
      <charset val="128"/>
      <scheme val="minor"/>
    </font>
    <font>
      <b/>
      <sz val="16"/>
      <color rgb="FF000000"/>
      <name val="Arial"/>
      <family val="2"/>
    </font>
    <font>
      <sz val="10"/>
      <color rgb="FF000000"/>
      <name val="Arial"/>
      <family val="2"/>
    </font>
  </fonts>
  <fills count="5">
    <fill>
      <patternFill patternType="none"/>
    </fill>
    <fill>
      <patternFill patternType="gray125"/>
    </fill>
    <fill>
      <patternFill patternType="solid">
        <fgColor rgb="FF1F3864"/>
      </patternFill>
    </fill>
    <fill>
      <patternFill patternType="solid">
        <fgColor rgb="FFD9E2F3"/>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176" fontId="3" fillId="4" borderId="1" xfId="0" applyNumberFormat="1" applyFont="1" applyFill="1" applyBorder="1" applyAlignment="1">
      <alignment vertical="top" wrapText="1"/>
    </xf>
    <xf numFmtId="0" fontId="8" fillId="0" borderId="1" xfId="0" applyFont="1" applyBorder="1" applyAlignment="1">
      <alignment vertical="top" wrapText="1"/>
    </xf>
    <xf numFmtId="0" fontId="2" fillId="0" borderId="1" xfId="0" applyFont="1" applyBorder="1" applyAlignment="1">
      <alignment vertical="top"/>
    </xf>
    <xf numFmtId="0" fontId="3" fillId="0" borderId="1" xfId="0" applyFont="1" applyBorder="1" applyAlignment="1">
      <alignment vertical="top"/>
    </xf>
    <xf numFmtId="9" fontId="3" fillId="0" borderId="1" xfId="0" applyNumberFormat="1" applyFont="1" applyBorder="1" applyAlignment="1">
      <alignment vertical="top"/>
    </xf>
    <xf numFmtId="0" fontId="2" fillId="0" borderId="0" xfId="0" applyFont="1"/>
    <xf numFmtId="0" fontId="2" fillId="0" borderId="1" xfId="0" applyFont="1" applyBorder="1"/>
    <xf numFmtId="9" fontId="2" fillId="0" borderId="1" xfId="0" applyNumberFormat="1" applyFont="1" applyBorder="1"/>
    <xf numFmtId="0" fontId="7" fillId="0" borderId="0" xfId="0" applyFont="1"/>
    <xf numFmtId="0" fontId="6" fillId="2" borderId="1" xfId="0" applyFont="1" applyFill="1" applyBorder="1"/>
    <xf numFmtId="0" fontId="0" fillId="4" borderId="1" xfId="0" applyFill="1" applyBorder="1" applyAlignment="1">
      <alignment vertical="top" wrapText="1"/>
    </xf>
    <xf numFmtId="0" fontId="10" fillId="0" borderId="0" xfId="0" applyFont="1"/>
    <xf numFmtId="0" fontId="11" fillId="4" borderId="1" xfId="0" applyFont="1" applyFill="1" applyBorder="1" applyAlignment="1">
      <alignment vertical="top" wrapText="1"/>
    </xf>
    <xf numFmtId="0" fontId="7" fillId="3" borderId="0" xfId="0" applyFont="1" applyFill="1" applyAlignment="1">
      <alignment vertical="center"/>
    </xf>
    <xf numFmtId="0" fontId="0" fillId="0" borderId="0" xfId="0"/>
    <xf numFmtId="0" fontId="11" fillId="0" borderId="0" xfId="0" applyFont="1" applyAlignment="1">
      <alignment vertical="top" wrapText="1"/>
    </xf>
    <xf numFmtId="14" fontId="0" fillId="0" borderId="0" xfId="0" applyNumberFormat="1"/>
    <xf numFmtId="21" fontId="0" fillId="0" borderId="0" xfId="0" applyNumberFormat="1"/>
    <xf numFmtId="21" fontId="11" fillId="4" borderId="1" xfId="0" applyNumberFormat="1" applyFont="1" applyFill="1" applyBorder="1" applyAlignment="1">
      <alignment vertical="top" wrapText="1"/>
    </xf>
  </cellXfs>
  <cellStyles count="1">
    <cellStyle name="標準" xfId="0" builtinId="0"/>
  </cellStyles>
  <dxfs count="10">
    <dxf>
      <fill>
        <patternFill patternType="solid">
          <fgColor rgb="FFDDEBF7"/>
        </patternFill>
      </fill>
    </dxf>
    <dxf>
      <font>
        <color rgb="FF9C5700"/>
        <name val="Arial"/>
      </font>
      <fill>
        <patternFill patternType="solid">
          <fgColor rgb="FFFFEB9C"/>
        </patternFill>
      </fill>
    </dxf>
    <dxf>
      <font>
        <color rgb="FF9C0006"/>
        <name val="Arial"/>
      </font>
      <fill>
        <patternFill patternType="solid">
          <fgColor rgb="FFFFC7CE"/>
        </patternFill>
      </fill>
    </dxf>
    <dxf>
      <font>
        <color rgb="FF006100"/>
        <name val="Arial"/>
      </font>
      <fill>
        <patternFill patternType="solid">
          <fgColor rgb="FFC6EFCE"/>
        </patternFill>
      </fill>
    </dxf>
    <dxf>
      <fill>
        <patternFill patternType="solid">
          <fgColor rgb="FFEDEDED"/>
        </patternFill>
      </fill>
    </dxf>
    <dxf>
      <fill>
        <patternFill patternType="solid">
          <fgColor rgb="FFDDEBF7"/>
        </patternFill>
      </fill>
    </dxf>
    <dxf>
      <font>
        <color rgb="FF9C5700"/>
        <name val="Arial"/>
      </font>
      <fill>
        <patternFill patternType="solid">
          <fgColor rgb="FFFFEB9C"/>
        </patternFill>
      </fill>
    </dxf>
    <dxf>
      <font>
        <color rgb="FF9C0006"/>
        <name val="Arial"/>
      </font>
      <fill>
        <patternFill patternType="solid">
          <fgColor rgb="FFFFC7CE"/>
        </patternFill>
      </fill>
    </dxf>
    <dxf>
      <font>
        <color rgb="FF9C0006"/>
        <name val="Arial"/>
      </font>
      <fill>
        <patternFill patternType="solid">
          <fgColor rgb="FFFFC7CE"/>
        </patternFill>
      </fill>
    </dxf>
    <dxf>
      <font>
        <color rgb="FF006100"/>
        <name val="Arial"/>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abSelected="1" topLeftCell="A10" workbookViewId="0">
      <selection activeCell="N47" sqref="N47"/>
    </sheetView>
  </sheetViews>
  <sheetFormatPr defaultRowHeight="13.5" x14ac:dyDescent="0.15"/>
  <cols>
    <col min="1" max="1" width="28" customWidth="1"/>
    <col min="2" max="2" width="110" customWidth="1"/>
  </cols>
  <sheetData>
    <row r="1" spans="1:14" ht="20.25" customHeight="1" x14ac:dyDescent="0.3">
      <c r="A1" s="21" t="s">
        <v>0</v>
      </c>
    </row>
    <row r="3" spans="1:14" ht="15.75" customHeight="1" x14ac:dyDescent="0.25">
      <c r="A3" s="1" t="s">
        <v>1</v>
      </c>
    </row>
    <row r="4" spans="1:14" ht="30.95" customHeight="1" x14ac:dyDescent="0.15">
      <c r="A4" s="2" t="s">
        <v>2</v>
      </c>
      <c r="B4" s="3" t="s">
        <v>3</v>
      </c>
    </row>
    <row r="5" spans="1:14" ht="30.95" customHeight="1" x14ac:dyDescent="0.15">
      <c r="A5" s="2" t="s">
        <v>4</v>
      </c>
      <c r="B5" s="3" t="s">
        <v>5</v>
      </c>
      <c r="L5" t="s">
        <v>362</v>
      </c>
      <c r="M5" s="26">
        <v>46319</v>
      </c>
    </row>
    <row r="6" spans="1:14" ht="84.95" customHeight="1" x14ac:dyDescent="0.15">
      <c r="A6" s="2" t="s">
        <v>6</v>
      </c>
      <c r="B6" s="3" t="s">
        <v>7</v>
      </c>
      <c r="L6" t="s">
        <v>362</v>
      </c>
      <c r="M6" s="26">
        <v>46319</v>
      </c>
    </row>
    <row r="7" spans="1:14" ht="30.95" customHeight="1" x14ac:dyDescent="0.15">
      <c r="A7" s="2" t="s">
        <v>8</v>
      </c>
      <c r="B7" s="3" t="s">
        <v>9</v>
      </c>
      <c r="L7" t="s">
        <v>362</v>
      </c>
      <c r="M7" s="26">
        <v>46319</v>
      </c>
    </row>
    <row r="8" spans="1:14" ht="17.45" customHeight="1" x14ac:dyDescent="0.15">
      <c r="A8" s="2" t="s">
        <v>10</v>
      </c>
      <c r="B8" s="3" t="s">
        <v>11</v>
      </c>
      <c r="L8" t="s">
        <v>362</v>
      </c>
      <c r="M8" s="26">
        <v>46319</v>
      </c>
    </row>
    <row r="9" spans="1:14" ht="30.95" customHeight="1" x14ac:dyDescent="0.15">
      <c r="A9" s="2" t="s">
        <v>12</v>
      </c>
      <c r="B9" s="3" t="s">
        <v>13</v>
      </c>
      <c r="L9" t="s">
        <v>362</v>
      </c>
      <c r="M9" s="26">
        <v>46319</v>
      </c>
    </row>
    <row r="10" spans="1:14" ht="111.95" customHeight="1" x14ac:dyDescent="0.15">
      <c r="A10" s="2" t="s">
        <v>14</v>
      </c>
      <c r="B10" s="3" t="s">
        <v>15</v>
      </c>
      <c r="L10" t="s">
        <v>363</v>
      </c>
      <c r="M10" s="26">
        <v>46319</v>
      </c>
    </row>
    <row r="11" spans="1:14" x14ac:dyDescent="0.15">
      <c r="L11" t="s">
        <v>362</v>
      </c>
      <c r="M11" s="26">
        <v>46319</v>
      </c>
    </row>
    <row r="12" spans="1:14" ht="15.75" customHeight="1" x14ac:dyDescent="0.25">
      <c r="A12" s="1" t="s">
        <v>16</v>
      </c>
      <c r="L12" t="s">
        <v>362</v>
      </c>
      <c r="M12" s="26">
        <v>46319</v>
      </c>
      <c r="N12" s="27" t="s">
        <v>364</v>
      </c>
    </row>
    <row r="13" spans="1:14" ht="30.95" customHeight="1" x14ac:dyDescent="0.15">
      <c r="A13" s="2" t="s">
        <v>17</v>
      </c>
      <c r="B13" s="3" t="s">
        <v>18</v>
      </c>
      <c r="L13" t="s">
        <v>362</v>
      </c>
      <c r="M13" s="26">
        <v>46319</v>
      </c>
    </row>
    <row r="14" spans="1:14" ht="17.45" customHeight="1" x14ac:dyDescent="0.15">
      <c r="A14" s="2" t="s">
        <v>19</v>
      </c>
      <c r="B14" s="3" t="s">
        <v>20</v>
      </c>
      <c r="L14" t="s">
        <v>362</v>
      </c>
      <c r="M14" s="26">
        <v>46319</v>
      </c>
      <c r="N14" t="s">
        <v>365</v>
      </c>
    </row>
    <row r="15" spans="1:14" ht="30.95" customHeight="1" x14ac:dyDescent="0.15">
      <c r="A15" s="2" t="s">
        <v>21</v>
      </c>
      <c r="B15" s="3" t="s">
        <v>22</v>
      </c>
    </row>
    <row r="16" spans="1:14" ht="17.45" customHeight="1" x14ac:dyDescent="0.15">
      <c r="A16" s="2" t="s">
        <v>23</v>
      </c>
      <c r="B16" s="3" t="s">
        <v>24</v>
      </c>
      <c r="L16" t="s">
        <v>362</v>
      </c>
      <c r="M16" s="26">
        <v>46319</v>
      </c>
      <c r="N16" t="s">
        <v>366</v>
      </c>
    </row>
    <row r="17" spans="1:13" ht="17.45" customHeight="1" x14ac:dyDescent="0.15">
      <c r="A17" s="2" t="s">
        <v>25</v>
      </c>
      <c r="B17" s="3" t="s">
        <v>26</v>
      </c>
      <c r="L17" t="s">
        <v>362</v>
      </c>
      <c r="M17" s="26">
        <v>46319</v>
      </c>
    </row>
    <row r="18" spans="1:13" ht="17.45" customHeight="1" x14ac:dyDescent="0.15">
      <c r="A18" s="2" t="s">
        <v>27</v>
      </c>
      <c r="B18" s="3" t="s">
        <v>28</v>
      </c>
      <c r="L18" t="s">
        <v>362</v>
      </c>
      <c r="M18" s="26">
        <v>46319</v>
      </c>
    </row>
    <row r="19" spans="1:13" ht="17.45" customHeight="1" x14ac:dyDescent="0.15">
      <c r="A19" s="2" t="s">
        <v>29</v>
      </c>
      <c r="B19" s="3" t="s">
        <v>30</v>
      </c>
    </row>
    <row r="20" spans="1:13" ht="30.95" customHeight="1" x14ac:dyDescent="0.15">
      <c r="A20" s="2" t="s">
        <v>31</v>
      </c>
      <c r="B20" s="3" t="s">
        <v>32</v>
      </c>
      <c r="L20" t="s">
        <v>362</v>
      </c>
      <c r="M20" s="26">
        <v>46319</v>
      </c>
    </row>
    <row r="21" spans="1:13" x14ac:dyDescent="0.15">
      <c r="L21" t="s">
        <v>362</v>
      </c>
      <c r="M21" s="26">
        <v>46319</v>
      </c>
    </row>
    <row r="22" spans="1:13" ht="15.75" customHeight="1" x14ac:dyDescent="0.25">
      <c r="A22" s="1" t="s">
        <v>33</v>
      </c>
      <c r="L22" t="s">
        <v>362</v>
      </c>
      <c r="M22" s="26">
        <v>46319</v>
      </c>
    </row>
    <row r="23" spans="1:13" ht="57.95" customHeight="1" x14ac:dyDescent="0.15">
      <c r="A23" s="2" t="s">
        <v>34</v>
      </c>
      <c r="B23" s="25" t="s">
        <v>361</v>
      </c>
      <c r="L23" t="s">
        <v>362</v>
      </c>
      <c r="M23" s="26">
        <v>46319</v>
      </c>
    </row>
    <row r="24" spans="1:13" ht="17.45" customHeight="1" x14ac:dyDescent="0.15">
      <c r="A24" s="2" t="s">
        <v>35</v>
      </c>
      <c r="B24" s="3" t="s">
        <v>36</v>
      </c>
      <c r="L24" t="s">
        <v>363</v>
      </c>
      <c r="M24" s="26">
        <v>46319</v>
      </c>
    </row>
    <row r="25" spans="1:13" ht="30.95" customHeight="1" x14ac:dyDescent="0.15">
      <c r="A25" s="2" t="s">
        <v>37</v>
      </c>
      <c r="B25" s="3" t="s">
        <v>38</v>
      </c>
    </row>
    <row r="26" spans="1:13" ht="44.45" customHeight="1" x14ac:dyDescent="0.15">
      <c r="A26" s="2" t="s">
        <v>39</v>
      </c>
      <c r="B26" s="3" t="s">
        <v>40</v>
      </c>
    </row>
    <row r="27" spans="1:13" ht="17.45" customHeight="1" x14ac:dyDescent="0.15">
      <c r="A27" s="2" t="s">
        <v>41</v>
      </c>
      <c r="B27" s="3" t="s">
        <v>42</v>
      </c>
      <c r="L27" t="s">
        <v>362</v>
      </c>
      <c r="M27" s="26">
        <v>46319</v>
      </c>
    </row>
    <row r="28" spans="1:13" x14ac:dyDescent="0.15">
      <c r="L28" t="s">
        <v>362</v>
      </c>
      <c r="M28" s="26">
        <v>46319</v>
      </c>
    </row>
    <row r="29" spans="1:13" ht="15.75" customHeight="1" x14ac:dyDescent="0.25">
      <c r="A29" s="1" t="s">
        <v>43</v>
      </c>
      <c r="L29" t="s">
        <v>362</v>
      </c>
      <c r="M29" s="26">
        <v>46319</v>
      </c>
    </row>
    <row r="30" spans="1:13" ht="30.95" customHeight="1" x14ac:dyDescent="0.15">
      <c r="A30" s="2" t="s">
        <v>44</v>
      </c>
      <c r="B30" s="3" t="s">
        <v>45</v>
      </c>
      <c r="L30" t="s">
        <v>362</v>
      </c>
      <c r="M30" s="26">
        <v>46319</v>
      </c>
    </row>
    <row r="31" spans="1:13" ht="30.95" customHeight="1" x14ac:dyDescent="0.15">
      <c r="A31" s="2" t="s">
        <v>46</v>
      </c>
      <c r="B31" s="3" t="s">
        <v>47</v>
      </c>
      <c r="L31" t="s">
        <v>362</v>
      </c>
      <c r="M31" s="26">
        <v>46319</v>
      </c>
    </row>
    <row r="32" spans="1:13" ht="44.45" customHeight="1" x14ac:dyDescent="0.15">
      <c r="A32" s="2" t="s">
        <v>48</v>
      </c>
      <c r="B32" s="3" t="s">
        <v>49</v>
      </c>
      <c r="L32" t="s">
        <v>362</v>
      </c>
      <c r="M32" s="26">
        <v>46319</v>
      </c>
    </row>
    <row r="33" spans="1:13" ht="30.95" customHeight="1" x14ac:dyDescent="0.15">
      <c r="A33" s="2" t="s">
        <v>50</v>
      </c>
      <c r="B33" s="3" t="s">
        <v>51</v>
      </c>
    </row>
    <row r="34" spans="1:13" ht="30.95" customHeight="1" x14ac:dyDescent="0.15">
      <c r="A34" s="2" t="s">
        <v>52</v>
      </c>
      <c r="B34" s="3" t="s">
        <v>53</v>
      </c>
    </row>
    <row r="35" spans="1:13" ht="44.45" customHeight="1" x14ac:dyDescent="0.15">
      <c r="A35" s="2" t="s">
        <v>54</v>
      </c>
      <c r="B35" s="3" t="s">
        <v>55</v>
      </c>
    </row>
    <row r="36" spans="1:13" ht="44.45" customHeight="1" x14ac:dyDescent="0.15">
      <c r="A36" s="2" t="s">
        <v>56</v>
      </c>
      <c r="B36" s="3" t="s">
        <v>57</v>
      </c>
    </row>
    <row r="37" spans="1:13" ht="30.95" customHeight="1" x14ac:dyDescent="0.15">
      <c r="A37" s="2" t="s">
        <v>58</v>
      </c>
      <c r="B37" s="3" t="s">
        <v>59</v>
      </c>
      <c r="L37" t="s">
        <v>362</v>
      </c>
      <c r="M37" s="26">
        <v>46319</v>
      </c>
    </row>
    <row r="38" spans="1:13" ht="44.45" customHeight="1" x14ac:dyDescent="0.15">
      <c r="A38" s="2" t="s">
        <v>60</v>
      </c>
      <c r="B38" s="3" t="s">
        <v>61</v>
      </c>
      <c r="L38" t="s">
        <v>362</v>
      </c>
      <c r="M38" s="26">
        <v>46319</v>
      </c>
    </row>
    <row r="39" spans="1:13" ht="44.45" customHeight="1" x14ac:dyDescent="0.15">
      <c r="A39" s="2" t="s">
        <v>62</v>
      </c>
      <c r="B39" s="3" t="s">
        <v>63</v>
      </c>
      <c r="L39" t="s">
        <v>362</v>
      </c>
      <c r="M39" s="26">
        <v>46319</v>
      </c>
    </row>
    <row r="40" spans="1:13" ht="30.95" customHeight="1" x14ac:dyDescent="0.15">
      <c r="A40" s="2" t="s">
        <v>64</v>
      </c>
      <c r="B40" s="3" t="s">
        <v>65</v>
      </c>
      <c r="L40" t="s">
        <v>362</v>
      </c>
      <c r="M40" s="26">
        <v>46319</v>
      </c>
    </row>
    <row r="41" spans="1:13" ht="44.45" customHeight="1" x14ac:dyDescent="0.15">
      <c r="A41" s="2" t="s">
        <v>66</v>
      </c>
      <c r="B41" s="3" t="s">
        <v>67</v>
      </c>
      <c r="L41" t="s">
        <v>362</v>
      </c>
      <c r="M41" s="26">
        <v>46319</v>
      </c>
    </row>
    <row r="42" spans="1:13" x14ac:dyDescent="0.15">
      <c r="L42" t="s">
        <v>362</v>
      </c>
      <c r="M42" s="26">
        <v>46319</v>
      </c>
    </row>
    <row r="43" spans="1:13" ht="15.75" customHeight="1" x14ac:dyDescent="0.25">
      <c r="A43" s="1" t="s">
        <v>68</v>
      </c>
      <c r="L43" t="s">
        <v>362</v>
      </c>
      <c r="M43" s="26">
        <v>46319</v>
      </c>
    </row>
    <row r="44" spans="1:13" ht="17.45" customHeight="1" x14ac:dyDescent="0.15">
      <c r="A44" s="2" t="s">
        <v>69</v>
      </c>
      <c r="B44" s="3" t="s">
        <v>70</v>
      </c>
      <c r="L44" t="s">
        <v>362</v>
      </c>
      <c r="M44" s="26">
        <v>46319</v>
      </c>
    </row>
    <row r="45" spans="1:13" ht="17.45" customHeight="1" x14ac:dyDescent="0.15">
      <c r="A45" s="2" t="s">
        <v>71</v>
      </c>
      <c r="B45" s="3" t="s">
        <v>72</v>
      </c>
    </row>
    <row r="46" spans="1:13" ht="30.95" customHeight="1" x14ac:dyDescent="0.15">
      <c r="A46" s="2" t="s">
        <v>73</v>
      </c>
      <c r="B46" s="3" t="s">
        <v>74</v>
      </c>
      <c r="L46" t="s">
        <v>362</v>
      </c>
      <c r="M46" s="26">
        <v>46319</v>
      </c>
    </row>
    <row r="47" spans="1:13" x14ac:dyDescent="0.15">
      <c r="L47" t="s">
        <v>362</v>
      </c>
      <c r="M47" s="26">
        <v>46319</v>
      </c>
    </row>
    <row r="48" spans="1:13" ht="15.75" customHeight="1" x14ac:dyDescent="0.25">
      <c r="A48" s="1" t="s">
        <v>75</v>
      </c>
      <c r="L48" t="s">
        <v>362</v>
      </c>
      <c r="M48" s="26">
        <v>46319</v>
      </c>
    </row>
    <row r="49" spans="1:14" ht="17.45" customHeight="1" x14ac:dyDescent="0.15">
      <c r="A49" s="2" t="s">
        <v>76</v>
      </c>
      <c r="B49" s="3" t="s">
        <v>77</v>
      </c>
      <c r="L49" t="s">
        <v>362</v>
      </c>
      <c r="M49" s="26">
        <v>46319</v>
      </c>
    </row>
    <row r="50" spans="1:14" ht="17.45" customHeight="1" x14ac:dyDescent="0.15">
      <c r="A50" s="2" t="s">
        <v>78</v>
      </c>
      <c r="B50" s="3" t="s">
        <v>79</v>
      </c>
      <c r="L50" t="s">
        <v>362</v>
      </c>
      <c r="M50" s="26">
        <v>46319</v>
      </c>
    </row>
    <row r="51" spans="1:14" ht="30.95" customHeight="1" x14ac:dyDescent="0.15">
      <c r="A51" s="2" t="s">
        <v>80</v>
      </c>
      <c r="B51" s="3" t="s">
        <v>81</v>
      </c>
    </row>
    <row r="52" spans="1:14" ht="17.45" customHeight="1" x14ac:dyDescent="0.15">
      <c r="A52" s="2" t="s">
        <v>82</v>
      </c>
      <c r="B52" s="3" t="s">
        <v>83</v>
      </c>
      <c r="L52" t="s">
        <v>362</v>
      </c>
      <c r="M52" s="26">
        <v>46319</v>
      </c>
    </row>
    <row r="53" spans="1:14" x14ac:dyDescent="0.15">
      <c r="L53" t="s">
        <v>362</v>
      </c>
      <c r="M53" s="26">
        <v>46319</v>
      </c>
      <c r="N53" t="s">
        <v>367</v>
      </c>
    </row>
  </sheetData>
  <phoneticPr fontId="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3"/>
  <sheetViews>
    <sheetView tabSelected="1" workbookViewId="0">
      <pane xSplit="3" ySplit="3" topLeftCell="D4" activePane="bottomRight" state="frozen"/>
      <selection activeCell="B23" sqref="B23"/>
      <selection pane="topRight" activeCell="B23" sqref="B23"/>
      <selection pane="bottomLeft" activeCell="B23" sqref="B23"/>
      <selection pane="bottomRight" activeCell="N47" sqref="N47"/>
    </sheetView>
  </sheetViews>
  <sheetFormatPr defaultRowHeight="13.5" x14ac:dyDescent="0.15"/>
  <cols>
    <col min="1" max="1" width="7" customWidth="1"/>
    <col min="2" max="2" width="8" customWidth="1"/>
    <col min="3" max="3" width="30" customWidth="1"/>
    <col min="4" max="4" width="13" customWidth="1"/>
    <col min="5" max="6" width="12" customWidth="1"/>
    <col min="7" max="7" width="11" customWidth="1"/>
    <col min="8" max="8" width="60" customWidth="1"/>
    <col min="9" max="9" width="52" customWidth="1"/>
    <col min="10" max="10" width="12" customWidth="1"/>
    <col min="11" max="11" width="11" customWidth="1"/>
    <col min="12" max="13" width="12" customWidth="1"/>
    <col min="14" max="14" width="42" customWidth="1"/>
  </cols>
  <sheetData>
    <row r="1" spans="1:14" ht="18" customHeight="1" x14ac:dyDescent="0.25">
      <c r="A1" s="4" t="s">
        <v>84</v>
      </c>
    </row>
    <row r="2" spans="1:14" ht="14.25" customHeight="1" x14ac:dyDescent="0.2">
      <c r="A2" s="5" t="s">
        <v>85</v>
      </c>
    </row>
    <row r="3" spans="1:14" x14ac:dyDescent="0.15">
      <c r="A3" s="6" t="s">
        <v>86</v>
      </c>
      <c r="B3" s="6" t="s">
        <v>87</v>
      </c>
      <c r="C3" s="6" t="s">
        <v>88</v>
      </c>
      <c r="D3" s="6" t="s">
        <v>89</v>
      </c>
      <c r="E3" s="6" t="s">
        <v>90</v>
      </c>
      <c r="F3" s="6" t="s">
        <v>91</v>
      </c>
      <c r="G3" s="6" t="s">
        <v>92</v>
      </c>
      <c r="H3" s="6" t="s">
        <v>93</v>
      </c>
      <c r="I3" s="6" t="s">
        <v>94</v>
      </c>
      <c r="J3" s="6" t="s">
        <v>95</v>
      </c>
      <c r="K3" s="6" t="s">
        <v>96</v>
      </c>
      <c r="L3" s="6" t="s">
        <v>97</v>
      </c>
      <c r="M3" s="6" t="s">
        <v>98</v>
      </c>
      <c r="N3" s="6" t="s">
        <v>99</v>
      </c>
    </row>
    <row r="4" spans="1:14" ht="20.100000000000001" customHeight="1" x14ac:dyDescent="0.15">
      <c r="A4" s="23" t="s">
        <v>100</v>
      </c>
      <c r="B4" s="24"/>
      <c r="C4" s="24"/>
      <c r="D4" s="24"/>
      <c r="E4" s="24"/>
      <c r="F4" s="24"/>
      <c r="G4" s="24"/>
      <c r="H4" s="24"/>
      <c r="I4" s="24"/>
      <c r="J4" s="24"/>
      <c r="K4" s="24"/>
      <c r="L4" s="24"/>
      <c r="M4" s="24"/>
      <c r="N4" s="24"/>
    </row>
    <row r="5" spans="1:14" ht="57.95" customHeight="1" x14ac:dyDescent="0.15">
      <c r="A5" s="7" t="s">
        <v>101</v>
      </c>
      <c r="B5" s="8" t="s">
        <v>102</v>
      </c>
      <c r="C5" s="8" t="s">
        <v>103</v>
      </c>
      <c r="D5" s="8" t="s">
        <v>104</v>
      </c>
      <c r="E5" s="8" t="s">
        <v>105</v>
      </c>
      <c r="F5" s="8" t="s">
        <v>106</v>
      </c>
      <c r="G5" s="8" t="s">
        <v>107</v>
      </c>
      <c r="H5" s="8" t="s">
        <v>108</v>
      </c>
      <c r="I5" s="8" t="s">
        <v>109</v>
      </c>
      <c r="J5" s="8"/>
      <c r="K5" s="9" t="s">
        <v>19</v>
      </c>
      <c r="L5" s="22" t="s">
        <v>362</v>
      </c>
      <c r="M5" s="10">
        <v>46319</v>
      </c>
      <c r="N5" s="9"/>
    </row>
    <row r="6" spans="1:14" ht="30.95" customHeight="1" x14ac:dyDescent="0.15">
      <c r="A6" s="7" t="s">
        <v>110</v>
      </c>
      <c r="B6" s="8" t="s">
        <v>102</v>
      </c>
      <c r="C6" s="11" t="s">
        <v>103</v>
      </c>
      <c r="D6" s="11" t="s">
        <v>104</v>
      </c>
      <c r="E6" s="11" t="s">
        <v>105</v>
      </c>
      <c r="F6" s="11" t="s">
        <v>106</v>
      </c>
      <c r="G6" s="11" t="s">
        <v>107</v>
      </c>
      <c r="H6" s="8" t="s">
        <v>111</v>
      </c>
      <c r="I6" s="8" t="s">
        <v>112</v>
      </c>
      <c r="J6" s="8"/>
      <c r="K6" s="9" t="s">
        <v>19</v>
      </c>
      <c r="L6" s="22" t="s">
        <v>362</v>
      </c>
      <c r="M6" s="10">
        <v>46319</v>
      </c>
      <c r="N6" s="9"/>
    </row>
    <row r="7" spans="1:14" ht="30.95" customHeight="1" x14ac:dyDescent="0.15">
      <c r="A7" s="7" t="s">
        <v>113</v>
      </c>
      <c r="B7" s="8" t="s">
        <v>102</v>
      </c>
      <c r="C7" s="11" t="s">
        <v>103</v>
      </c>
      <c r="D7" s="11" t="s">
        <v>104</v>
      </c>
      <c r="E7" s="11" t="s">
        <v>105</v>
      </c>
      <c r="F7" s="11" t="s">
        <v>106</v>
      </c>
      <c r="G7" s="11" t="s">
        <v>107</v>
      </c>
      <c r="H7" s="8" t="s">
        <v>114</v>
      </c>
      <c r="I7" s="8" t="s">
        <v>115</v>
      </c>
      <c r="J7" s="8" t="s">
        <v>116</v>
      </c>
      <c r="K7" s="9" t="s">
        <v>19</v>
      </c>
      <c r="L7" s="22" t="s">
        <v>362</v>
      </c>
      <c r="M7" s="10">
        <v>46319</v>
      </c>
      <c r="N7" s="9"/>
    </row>
    <row r="8" spans="1:14" ht="44.45" customHeight="1" x14ac:dyDescent="0.15">
      <c r="A8" s="7" t="s">
        <v>117</v>
      </c>
      <c r="B8" s="8" t="s">
        <v>118</v>
      </c>
      <c r="C8" s="8" t="s">
        <v>119</v>
      </c>
      <c r="D8" s="8" t="s">
        <v>104</v>
      </c>
      <c r="E8" s="8" t="s">
        <v>105</v>
      </c>
      <c r="F8" s="8" t="s">
        <v>106</v>
      </c>
      <c r="G8" s="8" t="s">
        <v>107</v>
      </c>
      <c r="H8" s="8" t="s">
        <v>120</v>
      </c>
      <c r="I8" s="8" t="s">
        <v>121</v>
      </c>
      <c r="J8" s="8"/>
      <c r="K8" s="9" t="s">
        <v>19</v>
      </c>
      <c r="L8" s="22" t="s">
        <v>362</v>
      </c>
      <c r="M8" s="10">
        <v>46319</v>
      </c>
      <c r="N8" s="9"/>
    </row>
    <row r="9" spans="1:14" ht="44.45" customHeight="1" x14ac:dyDescent="0.15">
      <c r="A9" s="7" t="s">
        <v>122</v>
      </c>
      <c r="B9" s="8" t="s">
        <v>123</v>
      </c>
      <c r="C9" s="8" t="s">
        <v>124</v>
      </c>
      <c r="D9" s="8" t="s">
        <v>125</v>
      </c>
      <c r="E9" s="8" t="s">
        <v>105</v>
      </c>
      <c r="F9" s="8" t="s">
        <v>126</v>
      </c>
      <c r="G9" s="8" t="s">
        <v>107</v>
      </c>
      <c r="H9" s="8" t="s">
        <v>127</v>
      </c>
      <c r="I9" s="8" t="s">
        <v>128</v>
      </c>
      <c r="J9" s="8"/>
      <c r="K9" s="9" t="s">
        <v>19</v>
      </c>
      <c r="L9" s="22" t="s">
        <v>362</v>
      </c>
      <c r="M9" s="10">
        <v>46319</v>
      </c>
      <c r="N9" s="9"/>
    </row>
    <row r="10" spans="1:14" ht="57.95" customHeight="1" x14ac:dyDescent="0.15">
      <c r="A10" s="7" t="s">
        <v>129</v>
      </c>
      <c r="B10" s="8" t="s">
        <v>123</v>
      </c>
      <c r="C10" s="11" t="s">
        <v>124</v>
      </c>
      <c r="D10" s="11" t="s">
        <v>125</v>
      </c>
      <c r="E10" s="11" t="s">
        <v>105</v>
      </c>
      <c r="F10" s="11" t="s">
        <v>126</v>
      </c>
      <c r="G10" s="11" t="s">
        <v>107</v>
      </c>
      <c r="H10" s="8" t="s">
        <v>130</v>
      </c>
      <c r="I10" s="8" t="s">
        <v>131</v>
      </c>
      <c r="J10" s="8"/>
      <c r="K10" s="9" t="s">
        <v>19</v>
      </c>
      <c r="L10" s="22" t="s">
        <v>363</v>
      </c>
      <c r="M10" s="10">
        <v>46319</v>
      </c>
      <c r="N10" s="9"/>
    </row>
    <row r="11" spans="1:14" ht="30.95" customHeight="1" x14ac:dyDescent="0.15">
      <c r="A11" s="7" t="s">
        <v>132</v>
      </c>
      <c r="B11" s="8" t="s">
        <v>123</v>
      </c>
      <c r="C11" s="11" t="s">
        <v>124</v>
      </c>
      <c r="D11" s="11" t="s">
        <v>125</v>
      </c>
      <c r="E11" s="11" t="s">
        <v>105</v>
      </c>
      <c r="F11" s="11" t="s">
        <v>126</v>
      </c>
      <c r="G11" s="11" t="s">
        <v>107</v>
      </c>
      <c r="H11" s="8" t="s">
        <v>133</v>
      </c>
      <c r="I11" s="8" t="s">
        <v>134</v>
      </c>
      <c r="J11" s="8"/>
      <c r="K11" s="9" t="s">
        <v>19</v>
      </c>
      <c r="L11" s="22" t="s">
        <v>362</v>
      </c>
      <c r="M11" s="10">
        <v>46319</v>
      </c>
      <c r="N11" s="9"/>
    </row>
    <row r="12" spans="1:14" ht="57.95" customHeight="1" x14ac:dyDescent="0.15">
      <c r="A12" s="7" t="s">
        <v>135</v>
      </c>
      <c r="B12" s="8" t="s">
        <v>136</v>
      </c>
      <c r="C12" s="8" t="s">
        <v>137</v>
      </c>
      <c r="D12" s="8" t="s">
        <v>138</v>
      </c>
      <c r="E12" s="8" t="s">
        <v>105</v>
      </c>
      <c r="F12" s="8" t="s">
        <v>139</v>
      </c>
      <c r="G12" s="8" t="s">
        <v>107</v>
      </c>
      <c r="H12" s="8" t="s">
        <v>140</v>
      </c>
      <c r="I12" s="8" t="s">
        <v>141</v>
      </c>
      <c r="J12" s="8"/>
      <c r="K12" s="9" t="s">
        <v>19</v>
      </c>
      <c r="L12" s="22" t="s">
        <v>362</v>
      </c>
      <c r="M12" s="10">
        <v>46319</v>
      </c>
      <c r="N12" s="28" t="s">
        <v>364</v>
      </c>
    </row>
    <row r="13" spans="1:14" ht="30.95" customHeight="1" x14ac:dyDescent="0.15">
      <c r="A13" s="7" t="s">
        <v>142</v>
      </c>
      <c r="B13" s="8" t="s">
        <v>136</v>
      </c>
      <c r="C13" s="11" t="s">
        <v>137</v>
      </c>
      <c r="D13" s="11" t="s">
        <v>138</v>
      </c>
      <c r="E13" s="11" t="s">
        <v>105</v>
      </c>
      <c r="F13" s="11" t="s">
        <v>139</v>
      </c>
      <c r="G13" s="11" t="s">
        <v>107</v>
      </c>
      <c r="H13" s="8" t="s">
        <v>143</v>
      </c>
      <c r="I13" s="8" t="s">
        <v>144</v>
      </c>
      <c r="J13" s="8"/>
      <c r="K13" s="9" t="s">
        <v>19</v>
      </c>
      <c r="L13" s="22" t="s">
        <v>362</v>
      </c>
      <c r="M13" s="10">
        <v>46319</v>
      </c>
      <c r="N13" s="9"/>
    </row>
    <row r="14" spans="1:14" ht="44.45" customHeight="1" x14ac:dyDescent="0.15">
      <c r="A14" s="7" t="s">
        <v>145</v>
      </c>
      <c r="B14" s="8" t="s">
        <v>146</v>
      </c>
      <c r="C14" s="8" t="s">
        <v>147</v>
      </c>
      <c r="D14" s="8" t="s">
        <v>148</v>
      </c>
      <c r="E14" s="8" t="s">
        <v>105</v>
      </c>
      <c r="F14" s="8" t="s">
        <v>139</v>
      </c>
      <c r="G14" s="8" t="s">
        <v>107</v>
      </c>
      <c r="H14" s="8" t="s">
        <v>149</v>
      </c>
      <c r="I14" s="8" t="s">
        <v>150</v>
      </c>
      <c r="J14" s="8" t="s">
        <v>116</v>
      </c>
      <c r="K14" s="9" t="s">
        <v>27</v>
      </c>
      <c r="L14" s="22" t="s">
        <v>362</v>
      </c>
      <c r="M14" s="10">
        <v>46319</v>
      </c>
      <c r="N14" s="22" t="s">
        <v>365</v>
      </c>
    </row>
    <row r="15" spans="1:14" ht="20.100000000000001" customHeight="1" x14ac:dyDescent="0.15">
      <c r="A15" s="23" t="s">
        <v>151</v>
      </c>
      <c r="B15" s="24"/>
      <c r="C15" s="24"/>
      <c r="D15" s="24"/>
      <c r="E15" s="24"/>
      <c r="F15" s="24"/>
      <c r="G15" s="24"/>
      <c r="H15" s="24"/>
      <c r="I15" s="24"/>
      <c r="J15" s="24"/>
      <c r="K15" s="24"/>
      <c r="L15" s="24"/>
      <c r="M15" s="24"/>
      <c r="N15" s="24"/>
    </row>
    <row r="16" spans="1:14" ht="30.95" customHeight="1" x14ac:dyDescent="0.15">
      <c r="A16" s="7" t="s">
        <v>152</v>
      </c>
      <c r="B16" s="8" t="s">
        <v>153</v>
      </c>
      <c r="C16" s="8" t="s">
        <v>154</v>
      </c>
      <c r="D16" s="8" t="s">
        <v>148</v>
      </c>
      <c r="E16" s="8" t="s">
        <v>105</v>
      </c>
      <c r="F16" s="8" t="s">
        <v>139</v>
      </c>
      <c r="G16" s="8" t="s">
        <v>107</v>
      </c>
      <c r="H16" s="8" t="s">
        <v>155</v>
      </c>
      <c r="I16" s="8" t="s">
        <v>156</v>
      </c>
      <c r="J16" s="8" t="s">
        <v>116</v>
      </c>
      <c r="K16" s="9" t="s">
        <v>27</v>
      </c>
      <c r="L16" s="22" t="s">
        <v>362</v>
      </c>
      <c r="M16" s="10">
        <v>46319</v>
      </c>
      <c r="N16" s="22" t="s">
        <v>366</v>
      </c>
    </row>
    <row r="17" spans="1:14" ht="30.95" customHeight="1" x14ac:dyDescent="0.15">
      <c r="A17" s="7" t="s">
        <v>157</v>
      </c>
      <c r="B17" s="8" t="s">
        <v>153</v>
      </c>
      <c r="C17" s="11" t="s">
        <v>154</v>
      </c>
      <c r="D17" s="11" t="s">
        <v>148</v>
      </c>
      <c r="E17" s="11" t="s">
        <v>105</v>
      </c>
      <c r="F17" s="11" t="s">
        <v>139</v>
      </c>
      <c r="G17" s="11" t="s">
        <v>107</v>
      </c>
      <c r="H17" s="8" t="s">
        <v>158</v>
      </c>
      <c r="I17" s="8" t="s">
        <v>159</v>
      </c>
      <c r="J17" s="8" t="s">
        <v>116</v>
      </c>
      <c r="K17" s="9" t="s">
        <v>27</v>
      </c>
      <c r="L17" s="22" t="s">
        <v>362</v>
      </c>
      <c r="M17" s="10">
        <v>46319</v>
      </c>
      <c r="N17" s="9"/>
    </row>
    <row r="18" spans="1:14" ht="30.95" customHeight="1" x14ac:dyDescent="0.15">
      <c r="A18" s="7" t="s">
        <v>160</v>
      </c>
      <c r="B18" s="8" t="s">
        <v>153</v>
      </c>
      <c r="C18" s="11" t="s">
        <v>154</v>
      </c>
      <c r="D18" s="11" t="s">
        <v>148</v>
      </c>
      <c r="E18" s="11" t="s">
        <v>105</v>
      </c>
      <c r="F18" s="11" t="s">
        <v>139</v>
      </c>
      <c r="G18" s="11" t="s">
        <v>107</v>
      </c>
      <c r="H18" s="8" t="s">
        <v>161</v>
      </c>
      <c r="I18" s="8" t="s">
        <v>162</v>
      </c>
      <c r="J18" s="8" t="s">
        <v>116</v>
      </c>
      <c r="K18" s="9" t="s">
        <v>27</v>
      </c>
      <c r="L18" s="22" t="s">
        <v>362</v>
      </c>
      <c r="M18" s="10">
        <v>46319</v>
      </c>
      <c r="N18" s="9"/>
    </row>
    <row r="19" spans="1:14" ht="20.100000000000001" customHeight="1" x14ac:dyDescent="0.15">
      <c r="A19" s="23" t="s">
        <v>163</v>
      </c>
      <c r="B19" s="24"/>
      <c r="C19" s="24"/>
      <c r="D19" s="24"/>
      <c r="E19" s="24"/>
      <c r="F19" s="24"/>
      <c r="G19" s="24"/>
      <c r="H19" s="24"/>
      <c r="I19" s="24"/>
      <c r="J19" s="24"/>
      <c r="K19" s="24"/>
      <c r="L19" s="24"/>
      <c r="M19" s="24"/>
      <c r="N19" s="24"/>
    </row>
    <row r="20" spans="1:14" ht="30.95" customHeight="1" x14ac:dyDescent="0.15">
      <c r="A20" s="7" t="s">
        <v>164</v>
      </c>
      <c r="B20" s="8" t="s">
        <v>165</v>
      </c>
      <c r="C20" s="8" t="s">
        <v>166</v>
      </c>
      <c r="D20" s="8" t="s">
        <v>148</v>
      </c>
      <c r="E20" s="8" t="s">
        <v>105</v>
      </c>
      <c r="F20" s="8" t="s">
        <v>126</v>
      </c>
      <c r="G20" s="8" t="s">
        <v>107</v>
      </c>
      <c r="H20" s="8" t="s">
        <v>167</v>
      </c>
      <c r="I20" s="8" t="s">
        <v>168</v>
      </c>
      <c r="J20" s="8"/>
      <c r="K20" s="9" t="s">
        <v>19</v>
      </c>
      <c r="L20" s="22" t="s">
        <v>362</v>
      </c>
      <c r="M20" s="10">
        <v>46319</v>
      </c>
      <c r="N20" s="9"/>
    </row>
    <row r="21" spans="1:14" ht="30.95" customHeight="1" x14ac:dyDescent="0.15">
      <c r="A21" s="7" t="s">
        <v>169</v>
      </c>
      <c r="B21" s="8" t="s">
        <v>165</v>
      </c>
      <c r="C21" s="11" t="s">
        <v>166</v>
      </c>
      <c r="D21" s="11" t="s">
        <v>148</v>
      </c>
      <c r="E21" s="11" t="s">
        <v>105</v>
      </c>
      <c r="F21" s="11" t="s">
        <v>126</v>
      </c>
      <c r="G21" s="11" t="s">
        <v>107</v>
      </c>
      <c r="H21" s="8" t="s">
        <v>170</v>
      </c>
      <c r="I21" s="8" t="s">
        <v>171</v>
      </c>
      <c r="J21" s="8"/>
      <c r="K21" s="9" t="s">
        <v>19</v>
      </c>
      <c r="L21" s="22" t="s">
        <v>362</v>
      </c>
      <c r="M21" s="10">
        <v>46319</v>
      </c>
      <c r="N21" s="9"/>
    </row>
    <row r="22" spans="1:14" ht="30.95" customHeight="1" x14ac:dyDescent="0.15">
      <c r="A22" s="7" t="s">
        <v>172</v>
      </c>
      <c r="B22" s="8" t="s">
        <v>165</v>
      </c>
      <c r="C22" s="11" t="s">
        <v>166</v>
      </c>
      <c r="D22" s="11" t="s">
        <v>148</v>
      </c>
      <c r="E22" s="11" t="s">
        <v>105</v>
      </c>
      <c r="F22" s="11" t="s">
        <v>126</v>
      </c>
      <c r="G22" s="11" t="s">
        <v>107</v>
      </c>
      <c r="H22" s="8" t="s">
        <v>173</v>
      </c>
      <c r="I22" s="8" t="s">
        <v>174</v>
      </c>
      <c r="J22" s="8"/>
      <c r="K22" s="9" t="s">
        <v>19</v>
      </c>
      <c r="L22" s="22" t="s">
        <v>362</v>
      </c>
      <c r="M22" s="10">
        <v>46319</v>
      </c>
      <c r="N22" s="9"/>
    </row>
    <row r="23" spans="1:14" ht="44.45" customHeight="1" x14ac:dyDescent="0.15">
      <c r="A23" s="7" t="s">
        <v>175</v>
      </c>
      <c r="B23" s="8" t="s">
        <v>361</v>
      </c>
      <c r="C23" s="11" t="s">
        <v>166</v>
      </c>
      <c r="D23" s="11" t="s">
        <v>148</v>
      </c>
      <c r="E23" s="11" t="s">
        <v>105</v>
      </c>
      <c r="F23" s="11" t="s">
        <v>126</v>
      </c>
      <c r="G23" s="11" t="s">
        <v>107</v>
      </c>
      <c r="H23" s="8" t="s">
        <v>176</v>
      </c>
      <c r="I23" s="8" t="s">
        <v>177</v>
      </c>
      <c r="J23" s="8"/>
      <c r="K23" s="9" t="s">
        <v>19</v>
      </c>
      <c r="L23" s="22" t="s">
        <v>362</v>
      </c>
      <c r="M23" s="10">
        <v>46319</v>
      </c>
      <c r="N23" s="9"/>
    </row>
    <row r="24" spans="1:14" ht="30.95" customHeight="1" x14ac:dyDescent="0.15">
      <c r="A24" s="7" t="s">
        <v>178</v>
      </c>
      <c r="B24" s="8" t="s">
        <v>165</v>
      </c>
      <c r="C24" s="11" t="s">
        <v>166</v>
      </c>
      <c r="D24" s="11" t="s">
        <v>148</v>
      </c>
      <c r="E24" s="11" t="s">
        <v>105</v>
      </c>
      <c r="F24" s="11" t="s">
        <v>126</v>
      </c>
      <c r="G24" s="11" t="s">
        <v>107</v>
      </c>
      <c r="H24" s="8" t="s">
        <v>179</v>
      </c>
      <c r="I24" s="8" t="s">
        <v>180</v>
      </c>
      <c r="J24" s="8"/>
      <c r="K24" s="9" t="s">
        <v>19</v>
      </c>
      <c r="L24" s="22" t="s">
        <v>363</v>
      </c>
      <c r="M24" s="10">
        <v>46319</v>
      </c>
      <c r="N24" s="9"/>
    </row>
    <row r="25" spans="1:14" ht="30.95" customHeight="1" x14ac:dyDescent="0.15">
      <c r="A25" s="7" t="s">
        <v>181</v>
      </c>
      <c r="B25" s="8" t="s">
        <v>182</v>
      </c>
      <c r="C25" s="8" t="s">
        <v>183</v>
      </c>
      <c r="D25" s="8" t="s">
        <v>148</v>
      </c>
      <c r="E25" s="8" t="s">
        <v>105</v>
      </c>
      <c r="F25" s="8" t="s">
        <v>126</v>
      </c>
      <c r="G25" s="8" t="s">
        <v>107</v>
      </c>
      <c r="H25" s="8" t="s">
        <v>184</v>
      </c>
      <c r="I25" s="8" t="s">
        <v>185</v>
      </c>
      <c r="J25" s="8" t="s">
        <v>116</v>
      </c>
      <c r="K25" s="9" t="s">
        <v>25</v>
      </c>
      <c r="L25" s="22"/>
      <c r="M25" s="10"/>
      <c r="N25" s="9"/>
    </row>
    <row r="26" spans="1:14" ht="20.100000000000001" customHeight="1" x14ac:dyDescent="0.15">
      <c r="A26" s="23" t="s">
        <v>186</v>
      </c>
      <c r="B26" s="24"/>
      <c r="C26" s="24"/>
      <c r="D26" s="24"/>
      <c r="E26" s="24"/>
      <c r="F26" s="24"/>
      <c r="G26" s="24"/>
      <c r="H26" s="24"/>
      <c r="I26" s="24"/>
      <c r="J26" s="24"/>
      <c r="K26" s="24"/>
      <c r="L26" s="24"/>
      <c r="M26" s="24"/>
      <c r="N26" s="24"/>
    </row>
    <row r="27" spans="1:14" ht="44.45" customHeight="1" x14ac:dyDescent="0.15">
      <c r="A27" s="7" t="s">
        <v>187</v>
      </c>
      <c r="B27" s="8" t="s">
        <v>188</v>
      </c>
      <c r="C27" s="8" t="s">
        <v>189</v>
      </c>
      <c r="D27" s="8" t="s">
        <v>190</v>
      </c>
      <c r="E27" s="8" t="s">
        <v>191</v>
      </c>
      <c r="F27" s="8" t="s">
        <v>126</v>
      </c>
      <c r="G27" s="8" t="s">
        <v>107</v>
      </c>
      <c r="H27" s="8" t="s">
        <v>192</v>
      </c>
      <c r="I27" s="8" t="s">
        <v>193</v>
      </c>
      <c r="J27" s="8"/>
      <c r="K27" s="9" t="s">
        <v>19</v>
      </c>
      <c r="L27" s="22" t="s">
        <v>362</v>
      </c>
      <c r="M27" s="10">
        <v>46319</v>
      </c>
      <c r="N27" s="9"/>
    </row>
    <row r="28" spans="1:14" ht="30.95" customHeight="1" x14ac:dyDescent="0.15">
      <c r="A28" s="7" t="s">
        <v>194</v>
      </c>
      <c r="B28" s="8" t="s">
        <v>188</v>
      </c>
      <c r="C28" s="11" t="s">
        <v>189</v>
      </c>
      <c r="D28" s="11" t="s">
        <v>190</v>
      </c>
      <c r="E28" s="11" t="s">
        <v>191</v>
      </c>
      <c r="F28" s="11" t="s">
        <v>126</v>
      </c>
      <c r="G28" s="11" t="s">
        <v>107</v>
      </c>
      <c r="H28" s="8" t="s">
        <v>195</v>
      </c>
      <c r="I28" s="8" t="s">
        <v>196</v>
      </c>
      <c r="J28" s="8"/>
      <c r="K28" s="9" t="s">
        <v>19</v>
      </c>
      <c r="L28" s="22" t="s">
        <v>362</v>
      </c>
      <c r="M28" s="10">
        <v>46319</v>
      </c>
      <c r="N28" s="9"/>
    </row>
    <row r="29" spans="1:14" ht="30.95" customHeight="1" x14ac:dyDescent="0.15">
      <c r="A29" s="7" t="s">
        <v>197</v>
      </c>
      <c r="B29" s="8" t="s">
        <v>188</v>
      </c>
      <c r="C29" s="11" t="s">
        <v>189</v>
      </c>
      <c r="D29" s="11" t="s">
        <v>190</v>
      </c>
      <c r="E29" s="11" t="s">
        <v>191</v>
      </c>
      <c r="F29" s="11" t="s">
        <v>126</v>
      </c>
      <c r="G29" s="11" t="s">
        <v>107</v>
      </c>
      <c r="H29" s="8" t="s">
        <v>198</v>
      </c>
      <c r="I29" s="8" t="s">
        <v>199</v>
      </c>
      <c r="J29" s="8" t="s">
        <v>116</v>
      </c>
      <c r="K29" s="9" t="s">
        <v>19</v>
      </c>
      <c r="L29" s="22" t="s">
        <v>362</v>
      </c>
      <c r="M29" s="10">
        <v>46319</v>
      </c>
      <c r="N29" s="9"/>
    </row>
    <row r="30" spans="1:14" ht="44.45" customHeight="1" x14ac:dyDescent="0.15">
      <c r="A30" s="7" t="s">
        <v>200</v>
      </c>
      <c r="B30" s="8" t="s">
        <v>201</v>
      </c>
      <c r="C30" s="8" t="s">
        <v>202</v>
      </c>
      <c r="D30" s="8" t="s">
        <v>203</v>
      </c>
      <c r="E30" s="8" t="s">
        <v>191</v>
      </c>
      <c r="F30" s="8" t="s">
        <v>126</v>
      </c>
      <c r="G30" s="8" t="s">
        <v>107</v>
      </c>
      <c r="H30" s="8" t="s">
        <v>204</v>
      </c>
      <c r="I30" s="8" t="s">
        <v>205</v>
      </c>
      <c r="J30" s="8"/>
      <c r="K30" s="9" t="s">
        <v>19</v>
      </c>
      <c r="L30" s="22" t="s">
        <v>362</v>
      </c>
      <c r="M30" s="10">
        <v>46319</v>
      </c>
      <c r="N30" s="9"/>
    </row>
    <row r="31" spans="1:14" ht="57.95" customHeight="1" x14ac:dyDescent="0.15">
      <c r="A31" s="7" t="s">
        <v>206</v>
      </c>
      <c r="B31" s="8" t="s">
        <v>201</v>
      </c>
      <c r="C31" s="11" t="s">
        <v>202</v>
      </c>
      <c r="D31" s="11" t="s">
        <v>203</v>
      </c>
      <c r="E31" s="11" t="s">
        <v>191</v>
      </c>
      <c r="F31" s="11" t="s">
        <v>126</v>
      </c>
      <c r="G31" s="11" t="s">
        <v>107</v>
      </c>
      <c r="H31" s="8" t="s">
        <v>207</v>
      </c>
      <c r="I31" s="8" t="s">
        <v>208</v>
      </c>
      <c r="J31" s="8"/>
      <c r="K31" s="9" t="s">
        <v>19</v>
      </c>
      <c r="L31" s="22" t="s">
        <v>362</v>
      </c>
      <c r="M31" s="10">
        <v>46319</v>
      </c>
      <c r="N31" s="9"/>
    </row>
    <row r="32" spans="1:14" ht="44.45" customHeight="1" x14ac:dyDescent="0.15">
      <c r="A32" s="7" t="s">
        <v>209</v>
      </c>
      <c r="B32" s="8" t="s">
        <v>210</v>
      </c>
      <c r="C32" s="8" t="s">
        <v>211</v>
      </c>
      <c r="D32" s="8" t="s">
        <v>212</v>
      </c>
      <c r="E32" s="8" t="s">
        <v>191</v>
      </c>
      <c r="F32" s="8" t="s">
        <v>126</v>
      </c>
      <c r="G32" s="8" t="s">
        <v>107</v>
      </c>
      <c r="H32" s="8" t="s">
        <v>213</v>
      </c>
      <c r="I32" s="8" t="s">
        <v>214</v>
      </c>
      <c r="J32" s="8"/>
      <c r="K32" s="9" t="s">
        <v>19</v>
      </c>
      <c r="L32" s="22" t="s">
        <v>362</v>
      </c>
      <c r="M32" s="10">
        <v>46319</v>
      </c>
      <c r="N32" s="9"/>
    </row>
    <row r="33" spans="1:14" ht="71.45" customHeight="1" x14ac:dyDescent="0.15">
      <c r="A33" s="7" t="s">
        <v>215</v>
      </c>
      <c r="B33" s="8" t="s">
        <v>216</v>
      </c>
      <c r="C33" s="8" t="s">
        <v>217</v>
      </c>
      <c r="D33" s="8" t="s">
        <v>212</v>
      </c>
      <c r="E33" s="8" t="s">
        <v>191</v>
      </c>
      <c r="F33" s="8" t="s">
        <v>139</v>
      </c>
      <c r="G33" s="8" t="s">
        <v>107</v>
      </c>
      <c r="H33" s="8" t="s">
        <v>218</v>
      </c>
      <c r="I33" s="8" t="s">
        <v>219</v>
      </c>
      <c r="J33" s="8" t="s">
        <v>116</v>
      </c>
      <c r="K33" s="9" t="s">
        <v>25</v>
      </c>
      <c r="L33" s="22"/>
      <c r="M33" s="10"/>
      <c r="N33" s="9"/>
    </row>
    <row r="34" spans="1:14" ht="44.45" customHeight="1" x14ac:dyDescent="0.15">
      <c r="A34" s="7" t="s">
        <v>220</v>
      </c>
      <c r="B34" s="8" t="s">
        <v>216</v>
      </c>
      <c r="C34" s="11" t="s">
        <v>217</v>
      </c>
      <c r="D34" s="11" t="s">
        <v>212</v>
      </c>
      <c r="E34" s="11" t="s">
        <v>191</v>
      </c>
      <c r="F34" s="11" t="s">
        <v>139</v>
      </c>
      <c r="G34" s="11" t="s">
        <v>107</v>
      </c>
      <c r="H34" s="8" t="s">
        <v>221</v>
      </c>
      <c r="I34" s="8" t="s">
        <v>222</v>
      </c>
      <c r="J34" s="8" t="s">
        <v>116</v>
      </c>
      <c r="K34" s="9" t="s">
        <v>25</v>
      </c>
      <c r="L34" s="22"/>
      <c r="M34" s="10"/>
      <c r="N34" s="9"/>
    </row>
    <row r="35" spans="1:14" ht="30.95" customHeight="1" x14ac:dyDescent="0.15">
      <c r="A35" s="7" t="s">
        <v>223</v>
      </c>
      <c r="B35" s="8" t="s">
        <v>216</v>
      </c>
      <c r="C35" s="11" t="s">
        <v>217</v>
      </c>
      <c r="D35" s="11" t="s">
        <v>212</v>
      </c>
      <c r="E35" s="11" t="s">
        <v>191</v>
      </c>
      <c r="F35" s="11" t="s">
        <v>139</v>
      </c>
      <c r="G35" s="11" t="s">
        <v>107</v>
      </c>
      <c r="H35" s="8" t="s">
        <v>224</v>
      </c>
      <c r="I35" s="8" t="s">
        <v>225</v>
      </c>
      <c r="J35" s="8" t="s">
        <v>116</v>
      </c>
      <c r="K35" s="9" t="s">
        <v>25</v>
      </c>
      <c r="L35" s="22"/>
      <c r="M35" s="10"/>
      <c r="N35" s="9"/>
    </row>
    <row r="36" spans="1:14" ht="20.100000000000001" customHeight="1" x14ac:dyDescent="0.15">
      <c r="A36" s="23" t="s">
        <v>226</v>
      </c>
      <c r="B36" s="24"/>
      <c r="C36" s="24"/>
      <c r="D36" s="24"/>
      <c r="E36" s="24"/>
      <c r="F36" s="24"/>
      <c r="G36" s="24"/>
      <c r="H36" s="24"/>
      <c r="I36" s="24"/>
      <c r="J36" s="24"/>
      <c r="K36" s="24"/>
      <c r="L36" s="24"/>
      <c r="M36" s="24"/>
      <c r="N36" s="24"/>
    </row>
    <row r="37" spans="1:14" ht="44.45" customHeight="1" x14ac:dyDescent="0.15">
      <c r="A37" s="7" t="s">
        <v>227</v>
      </c>
      <c r="B37" s="8" t="s">
        <v>228</v>
      </c>
      <c r="C37" s="8" t="s">
        <v>229</v>
      </c>
      <c r="D37" s="8" t="s">
        <v>230</v>
      </c>
      <c r="E37" s="8" t="s">
        <v>230</v>
      </c>
      <c r="F37" s="8" t="s">
        <v>126</v>
      </c>
      <c r="G37" s="8" t="s">
        <v>231</v>
      </c>
      <c r="H37" s="8" t="s">
        <v>232</v>
      </c>
      <c r="I37" s="8" t="s">
        <v>233</v>
      </c>
      <c r="J37" s="8"/>
      <c r="K37" s="9" t="s">
        <v>19</v>
      </c>
      <c r="L37" s="22" t="s">
        <v>362</v>
      </c>
      <c r="M37" s="10">
        <v>46319</v>
      </c>
      <c r="N37" s="9"/>
    </row>
    <row r="38" spans="1:14" ht="30.95" customHeight="1" x14ac:dyDescent="0.15">
      <c r="A38" s="7" t="s">
        <v>234</v>
      </c>
      <c r="B38" s="8" t="s">
        <v>228</v>
      </c>
      <c r="C38" s="11" t="s">
        <v>229</v>
      </c>
      <c r="D38" s="11" t="s">
        <v>230</v>
      </c>
      <c r="E38" s="11" t="s">
        <v>230</v>
      </c>
      <c r="F38" s="11" t="s">
        <v>126</v>
      </c>
      <c r="G38" s="11" t="s">
        <v>235</v>
      </c>
      <c r="H38" s="8" t="s">
        <v>236</v>
      </c>
      <c r="I38" s="8" t="s">
        <v>237</v>
      </c>
      <c r="J38" s="8"/>
      <c r="K38" s="9" t="s">
        <v>19</v>
      </c>
      <c r="L38" s="22" t="s">
        <v>362</v>
      </c>
      <c r="M38" s="10">
        <v>46319</v>
      </c>
      <c r="N38" s="9"/>
    </row>
    <row r="39" spans="1:14" ht="30.95" customHeight="1" x14ac:dyDescent="0.15">
      <c r="A39" s="7" t="s">
        <v>238</v>
      </c>
      <c r="B39" s="8" t="s">
        <v>228</v>
      </c>
      <c r="C39" s="11" t="s">
        <v>229</v>
      </c>
      <c r="D39" s="11" t="s">
        <v>230</v>
      </c>
      <c r="E39" s="11" t="s">
        <v>230</v>
      </c>
      <c r="F39" s="11" t="s">
        <v>126</v>
      </c>
      <c r="G39" s="11" t="s">
        <v>239</v>
      </c>
      <c r="H39" s="8" t="s">
        <v>240</v>
      </c>
      <c r="I39" s="8" t="s">
        <v>237</v>
      </c>
      <c r="J39" s="8" t="s">
        <v>116</v>
      </c>
      <c r="K39" s="9" t="s">
        <v>19</v>
      </c>
      <c r="L39" s="22" t="s">
        <v>362</v>
      </c>
      <c r="M39" s="10">
        <v>46319</v>
      </c>
      <c r="N39" s="9"/>
    </row>
    <row r="40" spans="1:14" ht="30.95" customHeight="1" x14ac:dyDescent="0.15">
      <c r="A40" s="7" t="s">
        <v>241</v>
      </c>
      <c r="B40" s="8" t="s">
        <v>242</v>
      </c>
      <c r="C40" s="8" t="s">
        <v>243</v>
      </c>
      <c r="D40" s="8" t="s">
        <v>230</v>
      </c>
      <c r="E40" s="8" t="s">
        <v>230</v>
      </c>
      <c r="F40" s="8" t="s">
        <v>126</v>
      </c>
      <c r="G40" s="8" t="s">
        <v>244</v>
      </c>
      <c r="H40" s="8" t="s">
        <v>245</v>
      </c>
      <c r="I40" s="8" t="s">
        <v>246</v>
      </c>
      <c r="J40" s="8"/>
      <c r="K40" s="9" t="s">
        <v>19</v>
      </c>
      <c r="L40" s="22" t="s">
        <v>362</v>
      </c>
      <c r="M40" s="10">
        <v>46319</v>
      </c>
      <c r="N40" s="9"/>
    </row>
    <row r="41" spans="1:14" ht="30.95" customHeight="1" x14ac:dyDescent="0.15">
      <c r="A41" s="7" t="s">
        <v>247</v>
      </c>
      <c r="B41" s="8" t="s">
        <v>242</v>
      </c>
      <c r="C41" s="11" t="s">
        <v>243</v>
      </c>
      <c r="D41" s="11" t="s">
        <v>230</v>
      </c>
      <c r="E41" s="11" t="s">
        <v>230</v>
      </c>
      <c r="F41" s="11" t="s">
        <v>126</v>
      </c>
      <c r="G41" s="11" t="s">
        <v>248</v>
      </c>
      <c r="H41" s="8" t="s">
        <v>249</v>
      </c>
      <c r="I41" s="8" t="s">
        <v>250</v>
      </c>
      <c r="J41" s="8"/>
      <c r="K41" s="9" t="s">
        <v>19</v>
      </c>
      <c r="L41" s="22" t="s">
        <v>362</v>
      </c>
      <c r="M41" s="10">
        <v>46319</v>
      </c>
      <c r="N41" s="9"/>
    </row>
    <row r="42" spans="1:14" ht="44.45" customHeight="1" x14ac:dyDescent="0.15">
      <c r="A42" s="7" t="s">
        <v>251</v>
      </c>
      <c r="B42" s="8" t="s">
        <v>252</v>
      </c>
      <c r="C42" s="8" t="s">
        <v>253</v>
      </c>
      <c r="D42" s="8" t="s">
        <v>230</v>
      </c>
      <c r="E42" s="8" t="s">
        <v>230</v>
      </c>
      <c r="F42" s="8" t="s">
        <v>126</v>
      </c>
      <c r="G42" s="8" t="s">
        <v>235</v>
      </c>
      <c r="H42" s="8" t="s">
        <v>254</v>
      </c>
      <c r="I42" s="8" t="s">
        <v>255</v>
      </c>
      <c r="J42" s="8"/>
      <c r="K42" s="9" t="s">
        <v>19</v>
      </c>
      <c r="L42" s="22" t="s">
        <v>362</v>
      </c>
      <c r="M42" s="10">
        <v>46319</v>
      </c>
      <c r="N42" s="9"/>
    </row>
    <row r="43" spans="1:14" ht="30.95" customHeight="1" x14ac:dyDescent="0.15">
      <c r="A43" s="7" t="s">
        <v>256</v>
      </c>
      <c r="B43" s="8" t="s">
        <v>257</v>
      </c>
      <c r="C43" s="8" t="s">
        <v>258</v>
      </c>
      <c r="D43" s="8" t="s">
        <v>230</v>
      </c>
      <c r="E43" s="8" t="s">
        <v>230</v>
      </c>
      <c r="F43" s="8" t="s">
        <v>126</v>
      </c>
      <c r="G43" s="8" t="s">
        <v>107</v>
      </c>
      <c r="H43" s="8" t="s">
        <v>259</v>
      </c>
      <c r="I43" s="8" t="s">
        <v>260</v>
      </c>
      <c r="J43" s="8"/>
      <c r="K43" s="9" t="s">
        <v>19</v>
      </c>
      <c r="L43" s="22" t="s">
        <v>362</v>
      </c>
      <c r="M43" s="10">
        <v>46319</v>
      </c>
      <c r="N43" s="9"/>
    </row>
    <row r="44" spans="1:14" ht="30.95" customHeight="1" x14ac:dyDescent="0.15">
      <c r="A44" s="7" t="s">
        <v>261</v>
      </c>
      <c r="B44" s="8" t="s">
        <v>257</v>
      </c>
      <c r="C44" s="11" t="s">
        <v>258</v>
      </c>
      <c r="D44" s="11" t="s">
        <v>230</v>
      </c>
      <c r="E44" s="11" t="s">
        <v>230</v>
      </c>
      <c r="F44" s="11" t="s">
        <v>126</v>
      </c>
      <c r="G44" s="11" t="s">
        <v>231</v>
      </c>
      <c r="H44" s="8" t="s">
        <v>262</v>
      </c>
      <c r="I44" s="8" t="s">
        <v>263</v>
      </c>
      <c r="J44" s="8"/>
      <c r="K44" s="9" t="s">
        <v>19</v>
      </c>
      <c r="L44" s="22" t="s">
        <v>362</v>
      </c>
      <c r="M44" s="10">
        <v>46319</v>
      </c>
      <c r="N44" s="9"/>
    </row>
    <row r="45" spans="1:14" ht="20.100000000000001" customHeight="1" x14ac:dyDescent="0.15">
      <c r="A45" s="23" t="s">
        <v>264</v>
      </c>
      <c r="B45" s="24"/>
      <c r="C45" s="24"/>
      <c r="D45" s="24"/>
      <c r="E45" s="24"/>
      <c r="F45" s="24"/>
      <c r="G45" s="24"/>
      <c r="H45" s="24"/>
      <c r="I45" s="24"/>
      <c r="J45" s="24"/>
      <c r="K45" s="24"/>
      <c r="L45" s="24"/>
      <c r="M45" s="24"/>
      <c r="N45" s="24"/>
    </row>
    <row r="46" spans="1:14" ht="57.95" customHeight="1" x14ac:dyDescent="0.15">
      <c r="A46" s="7" t="s">
        <v>265</v>
      </c>
      <c r="B46" s="8" t="s">
        <v>266</v>
      </c>
      <c r="C46" s="8" t="s">
        <v>267</v>
      </c>
      <c r="D46" s="8" t="s">
        <v>268</v>
      </c>
      <c r="E46" s="8" t="s">
        <v>269</v>
      </c>
      <c r="F46" s="8" t="s">
        <v>270</v>
      </c>
      <c r="G46" s="8" t="s">
        <v>271</v>
      </c>
      <c r="H46" s="8" t="s">
        <v>272</v>
      </c>
      <c r="I46" s="8" t="s">
        <v>273</v>
      </c>
      <c r="J46" s="8"/>
      <c r="K46" s="9" t="s">
        <v>19</v>
      </c>
      <c r="L46" s="22" t="s">
        <v>362</v>
      </c>
      <c r="M46" s="10">
        <v>46319</v>
      </c>
      <c r="N46" s="9"/>
    </row>
    <row r="47" spans="1:14" ht="30.95" customHeight="1" x14ac:dyDescent="0.15">
      <c r="A47" s="7" t="s">
        <v>274</v>
      </c>
      <c r="B47" s="8" t="s">
        <v>266</v>
      </c>
      <c r="C47" s="11" t="s">
        <v>267</v>
      </c>
      <c r="D47" s="11" t="s">
        <v>268</v>
      </c>
      <c r="E47" s="11" t="s">
        <v>269</v>
      </c>
      <c r="F47" s="11" t="s">
        <v>270</v>
      </c>
      <c r="G47" s="11" t="s">
        <v>271</v>
      </c>
      <c r="H47" s="8" t="s">
        <v>275</v>
      </c>
      <c r="I47" s="8" t="s">
        <v>276</v>
      </c>
      <c r="J47" s="8"/>
      <c r="K47" s="9" t="s">
        <v>19</v>
      </c>
      <c r="L47" s="22" t="s">
        <v>362</v>
      </c>
      <c r="M47" s="10">
        <v>46319</v>
      </c>
      <c r="N47" s="9"/>
    </row>
    <row r="48" spans="1:14" ht="30.95" customHeight="1" x14ac:dyDescent="0.15">
      <c r="A48" s="7" t="s">
        <v>277</v>
      </c>
      <c r="B48" s="8" t="s">
        <v>266</v>
      </c>
      <c r="C48" s="11" t="s">
        <v>267</v>
      </c>
      <c r="D48" s="11" t="s">
        <v>268</v>
      </c>
      <c r="E48" s="11" t="s">
        <v>269</v>
      </c>
      <c r="F48" s="11" t="s">
        <v>270</v>
      </c>
      <c r="G48" s="11" t="s">
        <v>271</v>
      </c>
      <c r="H48" s="8" t="s">
        <v>278</v>
      </c>
      <c r="I48" s="8" t="s">
        <v>279</v>
      </c>
      <c r="J48" s="8"/>
      <c r="K48" s="9" t="s">
        <v>19</v>
      </c>
      <c r="L48" s="22" t="s">
        <v>362</v>
      </c>
      <c r="M48" s="10">
        <v>46319</v>
      </c>
      <c r="N48" s="9"/>
    </row>
    <row r="49" spans="1:14" ht="71.45" customHeight="1" x14ac:dyDescent="0.15">
      <c r="A49" s="7" t="s">
        <v>280</v>
      </c>
      <c r="B49" s="8" t="s">
        <v>266</v>
      </c>
      <c r="C49" s="11" t="s">
        <v>267</v>
      </c>
      <c r="D49" s="11" t="s">
        <v>268</v>
      </c>
      <c r="E49" s="11" t="s">
        <v>269</v>
      </c>
      <c r="F49" s="11" t="s">
        <v>270</v>
      </c>
      <c r="G49" s="11" t="s">
        <v>271</v>
      </c>
      <c r="H49" s="8" t="s">
        <v>281</v>
      </c>
      <c r="I49" s="8" t="s">
        <v>282</v>
      </c>
      <c r="J49" s="8"/>
      <c r="K49" s="9" t="s">
        <v>19</v>
      </c>
      <c r="L49" s="22" t="s">
        <v>362</v>
      </c>
      <c r="M49" s="10">
        <v>46319</v>
      </c>
      <c r="N49" s="9"/>
    </row>
    <row r="50" spans="1:14" ht="30.95" customHeight="1" x14ac:dyDescent="0.15">
      <c r="A50" s="7" t="s">
        <v>283</v>
      </c>
      <c r="B50" s="8" t="s">
        <v>266</v>
      </c>
      <c r="C50" s="11" t="s">
        <v>267</v>
      </c>
      <c r="D50" s="11" t="s">
        <v>268</v>
      </c>
      <c r="E50" s="11" t="s">
        <v>269</v>
      </c>
      <c r="F50" s="11" t="s">
        <v>270</v>
      </c>
      <c r="G50" s="11" t="s">
        <v>271</v>
      </c>
      <c r="H50" s="8" t="s">
        <v>284</v>
      </c>
      <c r="I50" s="8" t="s">
        <v>285</v>
      </c>
      <c r="J50" s="8"/>
      <c r="K50" s="9" t="s">
        <v>19</v>
      </c>
      <c r="L50" s="22" t="s">
        <v>362</v>
      </c>
      <c r="M50" s="10">
        <v>46319</v>
      </c>
      <c r="N50" s="9"/>
    </row>
    <row r="51" spans="1:14" ht="20.100000000000001" customHeight="1" x14ac:dyDescent="0.15">
      <c r="A51" s="23" t="s">
        <v>286</v>
      </c>
      <c r="B51" s="24"/>
      <c r="C51" s="24"/>
      <c r="D51" s="24"/>
      <c r="E51" s="24"/>
      <c r="F51" s="24"/>
      <c r="G51" s="24"/>
      <c r="H51" s="24"/>
      <c r="I51" s="24"/>
      <c r="J51" s="24"/>
      <c r="K51" s="24"/>
      <c r="L51" s="24"/>
      <c r="M51" s="24"/>
      <c r="N51" s="24"/>
    </row>
    <row r="52" spans="1:14" ht="44.45" customHeight="1" x14ac:dyDescent="0.15">
      <c r="A52" s="7" t="s">
        <v>287</v>
      </c>
      <c r="B52" s="8" t="s">
        <v>288</v>
      </c>
      <c r="C52" s="8" t="s">
        <v>289</v>
      </c>
      <c r="D52" s="8" t="s">
        <v>269</v>
      </c>
      <c r="E52" s="8" t="s">
        <v>271</v>
      </c>
      <c r="F52" s="8" t="s">
        <v>126</v>
      </c>
      <c r="G52" s="8" t="s">
        <v>271</v>
      </c>
      <c r="H52" s="8" t="s">
        <v>290</v>
      </c>
      <c r="I52" s="8" t="s">
        <v>285</v>
      </c>
      <c r="J52" s="8"/>
      <c r="K52" s="9" t="s">
        <v>19</v>
      </c>
      <c r="L52" s="22" t="s">
        <v>362</v>
      </c>
      <c r="M52" s="10">
        <v>46319</v>
      </c>
      <c r="N52" s="9"/>
    </row>
    <row r="53" spans="1:14" ht="44.45" customHeight="1" x14ac:dyDescent="0.15">
      <c r="A53" s="7" t="s">
        <v>291</v>
      </c>
      <c r="B53" s="8" t="s">
        <v>288</v>
      </c>
      <c r="C53" s="11" t="s">
        <v>289</v>
      </c>
      <c r="D53" s="11" t="s">
        <v>269</v>
      </c>
      <c r="E53" s="11" t="s">
        <v>271</v>
      </c>
      <c r="F53" s="11" t="s">
        <v>126</v>
      </c>
      <c r="G53" s="11" t="s">
        <v>271</v>
      </c>
      <c r="H53" s="8" t="s">
        <v>292</v>
      </c>
      <c r="I53" s="8" t="s">
        <v>293</v>
      </c>
      <c r="J53" s="8" t="s">
        <v>116</v>
      </c>
      <c r="K53" s="9" t="s">
        <v>19</v>
      </c>
      <c r="L53" s="22" t="s">
        <v>362</v>
      </c>
      <c r="M53" s="10">
        <v>46319</v>
      </c>
      <c r="N53" s="22" t="s">
        <v>367</v>
      </c>
    </row>
  </sheetData>
  <autoFilter ref="A3:N53" xr:uid="{00000000-0009-0000-0000-000001000000}"/>
  <mergeCells count="7">
    <mergeCell ref="A4:N4"/>
    <mergeCell ref="A26:N26"/>
    <mergeCell ref="A15:N15"/>
    <mergeCell ref="A19:N19"/>
    <mergeCell ref="A51:N51"/>
    <mergeCell ref="A45:N45"/>
    <mergeCell ref="A36:N36"/>
  </mergeCells>
  <phoneticPr fontId="9"/>
  <conditionalFormatting sqref="K4:K53">
    <cfRule type="cellIs" dxfId="9" priority="1" operator="equal">
      <formula>"Pass"</formula>
    </cfRule>
    <cfRule type="cellIs" dxfId="8" priority="2" operator="equal">
      <formula>"Fail"</formula>
    </cfRule>
    <cfRule type="expression" dxfId="7" priority="3">
      <formula>AND(ISLOGICAL(K4),K4=FALSE)</formula>
    </cfRule>
    <cfRule type="cellIs" dxfId="6" priority="4" operator="equal">
      <formula>"Blocked"</formula>
    </cfRule>
    <cfRule type="cellIs" dxfId="5" priority="5" operator="equal">
      <formula>"N/A"</formula>
    </cfRule>
    <cfRule type="cellIs" dxfId="4" priority="6" operator="equal">
      <formula>"Not run"</formula>
    </cfRule>
  </conditionalFormatting>
  <dataValidations count="2">
    <dataValidation type="list" allowBlank="1" sqref="K4:K53" xr:uid="{00000000-0002-0000-0100-000000000000}">
      <formula1>"Pass,Fail,Blocked,Not run,N/A"</formula1>
    </dataValidation>
    <dataValidation type="date" operator="greaterThan" allowBlank="1" sqref="M4:M53" xr:uid="{00000000-0002-0000-0100-000001000000}">
      <formula1>45900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4"/>
  <sheetViews>
    <sheetView workbookViewId="0">
      <pane xSplit="2" ySplit="4" topLeftCell="C5" activePane="bottomRight" state="frozen"/>
      <selection pane="topRight"/>
      <selection pane="bottomLeft"/>
      <selection pane="bottomRight"/>
    </sheetView>
  </sheetViews>
  <sheetFormatPr defaultRowHeight="13.5" x14ac:dyDescent="0.15"/>
  <cols>
    <col min="1" max="1" width="8" customWidth="1"/>
    <col min="2" max="2" width="46" customWidth="1"/>
    <col min="3" max="3" width="16" customWidth="1"/>
    <col min="4" max="4" width="13" customWidth="1"/>
    <col min="5" max="5" width="8" customWidth="1"/>
    <col min="6" max="6" width="9" customWidth="1"/>
    <col min="7" max="8" width="7" customWidth="1"/>
    <col min="9" max="9" width="8" customWidth="1"/>
    <col min="10" max="10" width="7" customWidth="1"/>
    <col min="11" max="12" width="10" customWidth="1"/>
    <col min="13" max="13" width="9" customWidth="1"/>
    <col min="14" max="14" width="13" customWidth="1"/>
  </cols>
  <sheetData>
    <row r="1" spans="1:14" ht="18" customHeight="1" x14ac:dyDescent="0.25">
      <c r="A1" s="4" t="s">
        <v>294</v>
      </c>
    </row>
    <row r="2" spans="1:14" ht="14.25" customHeight="1" x14ac:dyDescent="0.2">
      <c r="A2" s="5" t="s">
        <v>295</v>
      </c>
    </row>
    <row r="4" spans="1:14" ht="25.5" customHeight="1" x14ac:dyDescent="0.15">
      <c r="A4" s="6" t="s">
        <v>87</v>
      </c>
      <c r="B4" s="6" t="s">
        <v>88</v>
      </c>
      <c r="C4" s="6" t="s">
        <v>89</v>
      </c>
      <c r="D4" s="6" t="s">
        <v>90</v>
      </c>
      <c r="E4" s="6" t="s">
        <v>296</v>
      </c>
      <c r="F4" s="6" t="s">
        <v>297</v>
      </c>
      <c r="G4" s="6" t="s">
        <v>19</v>
      </c>
      <c r="H4" s="6" t="s">
        <v>21</v>
      </c>
      <c r="I4" s="6" t="s">
        <v>23</v>
      </c>
      <c r="J4" s="6" t="s">
        <v>27</v>
      </c>
      <c r="K4" s="6" t="s">
        <v>298</v>
      </c>
      <c r="L4" s="6" t="s">
        <v>299</v>
      </c>
      <c r="M4" s="6" t="s">
        <v>300</v>
      </c>
      <c r="N4" s="6" t="s">
        <v>301</v>
      </c>
    </row>
    <row r="5" spans="1:14" x14ac:dyDescent="0.15">
      <c r="A5" s="12" t="s">
        <v>102</v>
      </c>
      <c r="B5" s="8" t="s">
        <v>103</v>
      </c>
      <c r="C5" s="8" t="s">
        <v>104</v>
      </c>
      <c r="D5" s="13" t="s">
        <v>105</v>
      </c>
      <c r="E5" s="13">
        <f>COUNTIF(Checklist!$B$4:$B$53,$A5)</f>
        <v>3</v>
      </c>
      <c r="F5" s="13">
        <f>COUNTIFS(Checklist!$B$4:$B$53,$A5,Checklist!$J$4:$J$53,"&lt;&gt;Yes")</f>
        <v>2</v>
      </c>
      <c r="G5" s="13">
        <f>COUNTIFS(Checklist!$B$4:$B$53,$A5,Checklist!$K$4:$K$53,"Pass")</f>
        <v>3</v>
      </c>
      <c r="H5" s="13">
        <f>COUNTIFS(Checklist!$B$4:$B$53,$A5,Checklist!$K$4:$K$53,"Fail")+COUNTIFS(Checklist!$B$4:$B$53,$A5,Checklist!$K$4:$K$53,FALSE)</f>
        <v>0</v>
      </c>
      <c r="I5" s="13">
        <f>COUNTIFS(Checklist!$B$4:$B$53,$A5,Checklist!$K$4:$K$53,"Blocked")</f>
        <v>0</v>
      </c>
      <c r="J5" s="13">
        <f>COUNTIFS(Checklist!$B$4:$B$53,$A5,Checklist!$K$4:$K$53,"N/A")</f>
        <v>0</v>
      </c>
      <c r="K5" s="13">
        <f t="shared" ref="K5:K22" si="0">E5-G5-H5-I5-J5</f>
        <v>0</v>
      </c>
      <c r="L5" s="13">
        <f>F5-COUNTIFS(Checklist!$B$4:$B$53,$A5,Checklist!$J$4:$J$53,"&lt;&gt;Yes",Checklist!$K$4:$K$53,"Pass")-COUNTIFS(Checklist!$B$4:$B$53,$A5,Checklist!$J$4:$J$53,"&lt;&gt;Yes",Checklist!$K$4:$K$53,"N/A")</f>
        <v>0</v>
      </c>
      <c r="M5" s="14">
        <f t="shared" ref="M5:M22" si="1">IF(E5=0,0,(G5+H5+I5+J5)/E5)</f>
        <v>1</v>
      </c>
      <c r="N5" s="13" t="str">
        <f t="shared" ref="N5:N22" si="2">IF(H5&gt;0,"Fail",IF(I5&gt;0,"Blocked",IF(L5=0,IF(F5=0,IF(G5+J5=0,"Optional","Pass"),"Pass"),IF(G5+J5=0,"Not started","In progress"))))</f>
        <v>Pass</v>
      </c>
    </row>
    <row r="6" spans="1:14" x14ac:dyDescent="0.15">
      <c r="A6" s="12" t="s">
        <v>118</v>
      </c>
      <c r="B6" s="8" t="s">
        <v>119</v>
      </c>
      <c r="C6" s="8" t="s">
        <v>104</v>
      </c>
      <c r="D6" s="13" t="s">
        <v>105</v>
      </c>
      <c r="E6" s="13">
        <f>COUNTIF(Checklist!$B$4:$B$53,$A6)</f>
        <v>1</v>
      </c>
      <c r="F6" s="13">
        <f>COUNTIFS(Checklist!$B$4:$B$53,$A6,Checklist!$J$4:$J$53,"&lt;&gt;Yes")</f>
        <v>1</v>
      </c>
      <c r="G6" s="13">
        <f>COUNTIFS(Checklist!$B$4:$B$53,$A6,Checklist!$K$4:$K$53,"Pass")</f>
        <v>1</v>
      </c>
      <c r="H6" s="13">
        <f>COUNTIFS(Checklist!$B$4:$B$53,$A6,Checklist!$K$4:$K$53,"Fail")+COUNTIFS(Checklist!$B$4:$B$53,$A6,Checklist!$K$4:$K$53,FALSE)</f>
        <v>0</v>
      </c>
      <c r="I6" s="13">
        <f>COUNTIFS(Checklist!$B$4:$B$53,$A6,Checklist!$K$4:$K$53,"Blocked")</f>
        <v>0</v>
      </c>
      <c r="J6" s="13">
        <f>COUNTIFS(Checklist!$B$4:$B$53,$A6,Checklist!$K$4:$K$53,"N/A")</f>
        <v>0</v>
      </c>
      <c r="K6" s="13">
        <f t="shared" si="0"/>
        <v>0</v>
      </c>
      <c r="L6" s="13">
        <f>F6-COUNTIFS(Checklist!$B$4:$B$53,$A6,Checklist!$J$4:$J$53,"&lt;&gt;Yes",Checklist!$K$4:$K$53,"Pass")-COUNTIFS(Checklist!$B$4:$B$53,$A6,Checklist!$J$4:$J$53,"&lt;&gt;Yes",Checklist!$K$4:$K$53,"N/A")</f>
        <v>0</v>
      </c>
      <c r="M6" s="14">
        <f t="shared" si="1"/>
        <v>1</v>
      </c>
      <c r="N6" s="13" t="str">
        <f t="shared" si="2"/>
        <v>Pass</v>
      </c>
    </row>
    <row r="7" spans="1:14" x14ac:dyDescent="0.15">
      <c r="A7" s="12" t="s">
        <v>123</v>
      </c>
      <c r="B7" s="8" t="s">
        <v>124</v>
      </c>
      <c r="C7" s="8" t="s">
        <v>125</v>
      </c>
      <c r="D7" s="13" t="s">
        <v>105</v>
      </c>
      <c r="E7" s="13">
        <f>COUNTIF(Checklist!$B$4:$B$53,$A7)</f>
        <v>3</v>
      </c>
      <c r="F7" s="13">
        <f>COUNTIFS(Checklist!$B$4:$B$53,$A7,Checklist!$J$4:$J$53,"&lt;&gt;Yes")</f>
        <v>3</v>
      </c>
      <c r="G7" s="13">
        <f>COUNTIFS(Checklist!$B$4:$B$53,$A7,Checklist!$K$4:$K$53,"Pass")</f>
        <v>3</v>
      </c>
      <c r="H7" s="13">
        <f>COUNTIFS(Checklist!$B$4:$B$53,$A7,Checklist!$K$4:$K$53,"Fail")+COUNTIFS(Checklist!$B$4:$B$53,$A7,Checklist!$K$4:$K$53,FALSE)</f>
        <v>0</v>
      </c>
      <c r="I7" s="13">
        <f>COUNTIFS(Checklist!$B$4:$B$53,$A7,Checklist!$K$4:$K$53,"Blocked")</f>
        <v>0</v>
      </c>
      <c r="J7" s="13">
        <f>COUNTIFS(Checklist!$B$4:$B$53,$A7,Checklist!$K$4:$K$53,"N/A")</f>
        <v>0</v>
      </c>
      <c r="K7" s="13">
        <f t="shared" si="0"/>
        <v>0</v>
      </c>
      <c r="L7" s="13">
        <f>F7-COUNTIFS(Checklist!$B$4:$B$53,$A7,Checklist!$J$4:$J$53,"&lt;&gt;Yes",Checklist!$K$4:$K$53,"Pass")-COUNTIFS(Checklist!$B$4:$B$53,$A7,Checklist!$J$4:$J$53,"&lt;&gt;Yes",Checklist!$K$4:$K$53,"N/A")</f>
        <v>0</v>
      </c>
      <c r="M7" s="14">
        <f t="shared" si="1"/>
        <v>1</v>
      </c>
      <c r="N7" s="13" t="str">
        <f t="shared" si="2"/>
        <v>Pass</v>
      </c>
    </row>
    <row r="8" spans="1:14" x14ac:dyDescent="0.15">
      <c r="A8" s="12" t="s">
        <v>136</v>
      </c>
      <c r="B8" s="8" t="s">
        <v>137</v>
      </c>
      <c r="C8" s="8" t="s">
        <v>138</v>
      </c>
      <c r="D8" s="13" t="s">
        <v>105</v>
      </c>
      <c r="E8" s="13">
        <f>COUNTIF(Checklist!$B$4:$B$53,$A8)</f>
        <v>2</v>
      </c>
      <c r="F8" s="13">
        <f>COUNTIFS(Checklist!$B$4:$B$53,$A8,Checklist!$J$4:$J$53,"&lt;&gt;Yes")</f>
        <v>2</v>
      </c>
      <c r="G8" s="13">
        <f>COUNTIFS(Checklist!$B$4:$B$53,$A8,Checklist!$K$4:$K$53,"Pass")</f>
        <v>2</v>
      </c>
      <c r="H8" s="13">
        <f>COUNTIFS(Checklist!$B$4:$B$53,$A8,Checklist!$K$4:$K$53,"Fail")+COUNTIFS(Checklist!$B$4:$B$53,$A8,Checklist!$K$4:$K$53,FALSE)</f>
        <v>0</v>
      </c>
      <c r="I8" s="13">
        <f>COUNTIFS(Checklist!$B$4:$B$53,$A8,Checklist!$K$4:$K$53,"Blocked")</f>
        <v>0</v>
      </c>
      <c r="J8" s="13">
        <f>COUNTIFS(Checklist!$B$4:$B$53,$A8,Checklist!$K$4:$K$53,"N/A")</f>
        <v>0</v>
      </c>
      <c r="K8" s="13">
        <f t="shared" si="0"/>
        <v>0</v>
      </c>
      <c r="L8" s="13">
        <f>F8-COUNTIFS(Checklist!$B$4:$B$53,$A8,Checklist!$J$4:$J$53,"&lt;&gt;Yes",Checklist!$K$4:$K$53,"Pass")-COUNTIFS(Checklist!$B$4:$B$53,$A8,Checklist!$J$4:$J$53,"&lt;&gt;Yes",Checklist!$K$4:$K$53,"N/A")</f>
        <v>0</v>
      </c>
      <c r="M8" s="14">
        <f t="shared" si="1"/>
        <v>1</v>
      </c>
      <c r="N8" s="13" t="str">
        <f t="shared" si="2"/>
        <v>Pass</v>
      </c>
    </row>
    <row r="9" spans="1:14" x14ac:dyDescent="0.15">
      <c r="A9" s="12" t="s">
        <v>146</v>
      </c>
      <c r="B9" s="8" t="s">
        <v>147</v>
      </c>
      <c r="C9" s="8" t="s">
        <v>148</v>
      </c>
      <c r="D9" s="13" t="s">
        <v>105</v>
      </c>
      <c r="E9" s="13">
        <f>COUNTIF(Checklist!$B$4:$B$53,$A9)</f>
        <v>1</v>
      </c>
      <c r="F9" s="13">
        <f>COUNTIFS(Checklist!$B$4:$B$53,$A9,Checklist!$J$4:$J$53,"&lt;&gt;Yes")</f>
        <v>0</v>
      </c>
      <c r="G9" s="13">
        <f>COUNTIFS(Checklist!$B$4:$B$53,$A9,Checklist!$K$4:$K$53,"Pass")</f>
        <v>0</v>
      </c>
      <c r="H9" s="13">
        <f>COUNTIFS(Checklist!$B$4:$B$53,$A9,Checklist!$K$4:$K$53,"Fail")+COUNTIFS(Checklist!$B$4:$B$53,$A9,Checklist!$K$4:$K$53,FALSE)</f>
        <v>0</v>
      </c>
      <c r="I9" s="13">
        <f>COUNTIFS(Checklist!$B$4:$B$53,$A9,Checklist!$K$4:$K$53,"Blocked")</f>
        <v>0</v>
      </c>
      <c r="J9" s="13">
        <f>COUNTIFS(Checklist!$B$4:$B$53,$A9,Checklist!$K$4:$K$53,"N/A")</f>
        <v>1</v>
      </c>
      <c r="K9" s="13">
        <f t="shared" si="0"/>
        <v>0</v>
      </c>
      <c r="L9" s="13">
        <f>F9-COUNTIFS(Checklist!$B$4:$B$53,$A9,Checklist!$J$4:$J$53,"&lt;&gt;Yes",Checklist!$K$4:$K$53,"Pass")-COUNTIFS(Checklist!$B$4:$B$53,$A9,Checklist!$J$4:$J$53,"&lt;&gt;Yes",Checklist!$K$4:$K$53,"N/A")</f>
        <v>0</v>
      </c>
      <c r="M9" s="14">
        <f t="shared" si="1"/>
        <v>1</v>
      </c>
      <c r="N9" s="13" t="str">
        <f t="shared" si="2"/>
        <v>Pass</v>
      </c>
    </row>
    <row r="10" spans="1:14" x14ac:dyDescent="0.15">
      <c r="A10" s="12" t="s">
        <v>153</v>
      </c>
      <c r="B10" s="8" t="s">
        <v>154</v>
      </c>
      <c r="C10" s="8" t="s">
        <v>148</v>
      </c>
      <c r="D10" s="13" t="s">
        <v>105</v>
      </c>
      <c r="E10" s="13">
        <f>COUNTIF(Checklist!$B$4:$B$53,$A10)</f>
        <v>3</v>
      </c>
      <c r="F10" s="13">
        <f>COUNTIFS(Checklist!$B$4:$B$53,$A10,Checklist!$J$4:$J$53,"&lt;&gt;Yes")</f>
        <v>0</v>
      </c>
      <c r="G10" s="13">
        <f>COUNTIFS(Checklist!$B$4:$B$53,$A10,Checklist!$K$4:$K$53,"Pass")</f>
        <v>0</v>
      </c>
      <c r="H10" s="13">
        <f>COUNTIFS(Checklist!$B$4:$B$53,$A10,Checklist!$K$4:$K$53,"Fail")+COUNTIFS(Checklist!$B$4:$B$53,$A10,Checklist!$K$4:$K$53,FALSE)</f>
        <v>0</v>
      </c>
      <c r="I10" s="13">
        <f>COUNTIFS(Checklist!$B$4:$B$53,$A10,Checklist!$K$4:$K$53,"Blocked")</f>
        <v>0</v>
      </c>
      <c r="J10" s="13">
        <f>COUNTIFS(Checklist!$B$4:$B$53,$A10,Checklist!$K$4:$K$53,"N/A")</f>
        <v>3</v>
      </c>
      <c r="K10" s="13">
        <f t="shared" si="0"/>
        <v>0</v>
      </c>
      <c r="L10" s="13">
        <f>F10-COUNTIFS(Checklist!$B$4:$B$53,$A10,Checklist!$J$4:$J$53,"&lt;&gt;Yes",Checklist!$K$4:$K$53,"Pass")-COUNTIFS(Checklist!$B$4:$B$53,$A10,Checklist!$J$4:$J$53,"&lt;&gt;Yes",Checklist!$K$4:$K$53,"N/A")</f>
        <v>0</v>
      </c>
      <c r="M10" s="14">
        <f t="shared" si="1"/>
        <v>1</v>
      </c>
      <c r="N10" s="13" t="str">
        <f t="shared" si="2"/>
        <v>Pass</v>
      </c>
    </row>
    <row r="11" spans="1:14" x14ac:dyDescent="0.15">
      <c r="A11" s="12" t="s">
        <v>165</v>
      </c>
      <c r="B11" s="8" t="s">
        <v>166</v>
      </c>
      <c r="C11" s="8" t="s">
        <v>148</v>
      </c>
      <c r="D11" s="13" t="s">
        <v>105</v>
      </c>
      <c r="E11" s="13">
        <f>COUNTIF(Checklist!$B$4:$B$53,$A11)</f>
        <v>4</v>
      </c>
      <c r="F11" s="13">
        <f>COUNTIFS(Checklist!$B$4:$B$53,$A11,Checklist!$J$4:$J$53,"&lt;&gt;Yes")</f>
        <v>4</v>
      </c>
      <c r="G11" s="13">
        <f>COUNTIFS(Checklist!$B$4:$B$53,$A11,Checklist!$K$4:$K$53,"Pass")</f>
        <v>4</v>
      </c>
      <c r="H11" s="13">
        <f>COUNTIFS(Checklist!$B$4:$B$53,$A11,Checklist!$K$4:$K$53,"Fail")+COUNTIFS(Checklist!$B$4:$B$53,$A11,Checklist!$K$4:$K$53,FALSE)</f>
        <v>0</v>
      </c>
      <c r="I11" s="13">
        <f>COUNTIFS(Checklist!$B$4:$B$53,$A11,Checklist!$K$4:$K$53,"Blocked")</f>
        <v>0</v>
      </c>
      <c r="J11" s="13">
        <f>COUNTIFS(Checklist!$B$4:$B$53,$A11,Checklist!$K$4:$K$53,"N/A")</f>
        <v>0</v>
      </c>
      <c r="K11" s="13">
        <f t="shared" si="0"/>
        <v>0</v>
      </c>
      <c r="L11" s="13">
        <f>F11-COUNTIFS(Checklist!$B$4:$B$53,$A11,Checklist!$J$4:$J$53,"&lt;&gt;Yes",Checklist!$K$4:$K$53,"Pass")-COUNTIFS(Checklist!$B$4:$B$53,$A11,Checklist!$J$4:$J$53,"&lt;&gt;Yes",Checklist!$K$4:$K$53,"N/A")</f>
        <v>0</v>
      </c>
      <c r="M11" s="14">
        <f t="shared" si="1"/>
        <v>1</v>
      </c>
      <c r="N11" s="13" t="str">
        <f t="shared" si="2"/>
        <v>Pass</v>
      </c>
    </row>
    <row r="12" spans="1:14" x14ac:dyDescent="0.15">
      <c r="A12" s="12" t="s">
        <v>182</v>
      </c>
      <c r="B12" s="8" t="s">
        <v>183</v>
      </c>
      <c r="C12" s="8" t="s">
        <v>148</v>
      </c>
      <c r="D12" s="13" t="s">
        <v>105</v>
      </c>
      <c r="E12" s="13">
        <f>COUNTIF(Checklist!$B$4:$B$53,$A12)</f>
        <v>1</v>
      </c>
      <c r="F12" s="13">
        <f>COUNTIFS(Checklist!$B$4:$B$53,$A12,Checklist!$J$4:$J$53,"&lt;&gt;Yes")</f>
        <v>0</v>
      </c>
      <c r="G12" s="13">
        <f>COUNTIFS(Checklist!$B$4:$B$53,$A12,Checklist!$K$4:$K$53,"Pass")</f>
        <v>0</v>
      </c>
      <c r="H12" s="13">
        <f>COUNTIFS(Checklist!$B$4:$B$53,$A12,Checklist!$K$4:$K$53,"Fail")+COUNTIFS(Checklist!$B$4:$B$53,$A12,Checklist!$K$4:$K$53,FALSE)</f>
        <v>0</v>
      </c>
      <c r="I12" s="13">
        <f>COUNTIFS(Checklist!$B$4:$B$53,$A12,Checklist!$K$4:$K$53,"Blocked")</f>
        <v>0</v>
      </c>
      <c r="J12" s="13">
        <f>COUNTIFS(Checklist!$B$4:$B$53,$A12,Checklist!$K$4:$K$53,"N/A")</f>
        <v>0</v>
      </c>
      <c r="K12" s="13">
        <f t="shared" si="0"/>
        <v>1</v>
      </c>
      <c r="L12" s="13">
        <f>F12-COUNTIFS(Checklist!$B$4:$B$53,$A12,Checklist!$J$4:$J$53,"&lt;&gt;Yes",Checklist!$K$4:$K$53,"Pass")-COUNTIFS(Checklist!$B$4:$B$53,$A12,Checklist!$J$4:$J$53,"&lt;&gt;Yes",Checklist!$K$4:$K$53,"N/A")</f>
        <v>0</v>
      </c>
      <c r="M12" s="14">
        <f t="shared" si="1"/>
        <v>0</v>
      </c>
      <c r="N12" s="13" t="str">
        <f t="shared" si="2"/>
        <v>Optional</v>
      </c>
    </row>
    <row r="13" spans="1:14" x14ac:dyDescent="0.15">
      <c r="A13" s="12" t="s">
        <v>188</v>
      </c>
      <c r="B13" s="8" t="s">
        <v>189</v>
      </c>
      <c r="C13" s="8" t="s">
        <v>190</v>
      </c>
      <c r="D13" s="13" t="s">
        <v>191</v>
      </c>
      <c r="E13" s="13">
        <f>COUNTIF(Checklist!$B$4:$B$53,$A13)</f>
        <v>3</v>
      </c>
      <c r="F13" s="13">
        <f>COUNTIFS(Checklist!$B$4:$B$53,$A13,Checklist!$J$4:$J$53,"&lt;&gt;Yes")</f>
        <v>2</v>
      </c>
      <c r="G13" s="13">
        <f>COUNTIFS(Checklist!$B$4:$B$53,$A13,Checklist!$K$4:$K$53,"Pass")</f>
        <v>3</v>
      </c>
      <c r="H13" s="13">
        <f>COUNTIFS(Checklist!$B$4:$B$53,$A13,Checklist!$K$4:$K$53,"Fail")+COUNTIFS(Checklist!$B$4:$B$53,$A13,Checklist!$K$4:$K$53,FALSE)</f>
        <v>0</v>
      </c>
      <c r="I13" s="13">
        <f>COUNTIFS(Checklist!$B$4:$B$53,$A13,Checklist!$K$4:$K$53,"Blocked")</f>
        <v>0</v>
      </c>
      <c r="J13" s="13">
        <f>COUNTIFS(Checklist!$B$4:$B$53,$A13,Checklist!$K$4:$K$53,"N/A")</f>
        <v>0</v>
      </c>
      <c r="K13" s="13">
        <f t="shared" si="0"/>
        <v>0</v>
      </c>
      <c r="L13" s="13">
        <f>F13-COUNTIFS(Checklist!$B$4:$B$53,$A13,Checklist!$J$4:$J$53,"&lt;&gt;Yes",Checklist!$K$4:$K$53,"Pass")-COUNTIFS(Checklist!$B$4:$B$53,$A13,Checklist!$J$4:$J$53,"&lt;&gt;Yes",Checklist!$K$4:$K$53,"N/A")</f>
        <v>0</v>
      </c>
      <c r="M13" s="14">
        <f t="shared" si="1"/>
        <v>1</v>
      </c>
      <c r="N13" s="13" t="str">
        <f t="shared" si="2"/>
        <v>Pass</v>
      </c>
    </row>
    <row r="14" spans="1:14" x14ac:dyDescent="0.15">
      <c r="A14" s="12" t="s">
        <v>201</v>
      </c>
      <c r="B14" s="8" t="s">
        <v>202</v>
      </c>
      <c r="C14" s="8" t="s">
        <v>203</v>
      </c>
      <c r="D14" s="13" t="s">
        <v>191</v>
      </c>
      <c r="E14" s="13">
        <f>COUNTIF(Checklist!$B$4:$B$53,$A14)</f>
        <v>2</v>
      </c>
      <c r="F14" s="13">
        <f>COUNTIFS(Checklist!$B$4:$B$53,$A14,Checklist!$J$4:$J$53,"&lt;&gt;Yes")</f>
        <v>2</v>
      </c>
      <c r="G14" s="13">
        <f>COUNTIFS(Checklist!$B$4:$B$53,$A14,Checklist!$K$4:$K$53,"Pass")</f>
        <v>2</v>
      </c>
      <c r="H14" s="13">
        <f>COUNTIFS(Checklist!$B$4:$B$53,$A14,Checklist!$K$4:$K$53,"Fail")+COUNTIFS(Checklist!$B$4:$B$53,$A14,Checklist!$K$4:$K$53,FALSE)</f>
        <v>0</v>
      </c>
      <c r="I14" s="13">
        <f>COUNTIFS(Checklist!$B$4:$B$53,$A14,Checklist!$K$4:$K$53,"Blocked")</f>
        <v>0</v>
      </c>
      <c r="J14" s="13">
        <f>COUNTIFS(Checklist!$B$4:$B$53,$A14,Checklist!$K$4:$K$53,"N/A")</f>
        <v>0</v>
      </c>
      <c r="K14" s="13">
        <f t="shared" si="0"/>
        <v>0</v>
      </c>
      <c r="L14" s="13">
        <f>F14-COUNTIFS(Checklist!$B$4:$B$53,$A14,Checklist!$J$4:$J$53,"&lt;&gt;Yes",Checklist!$K$4:$K$53,"Pass")-COUNTIFS(Checklist!$B$4:$B$53,$A14,Checklist!$J$4:$J$53,"&lt;&gt;Yes",Checklist!$K$4:$K$53,"N/A")</f>
        <v>0</v>
      </c>
      <c r="M14" s="14">
        <f t="shared" si="1"/>
        <v>1</v>
      </c>
      <c r="N14" s="13" t="str">
        <f t="shared" si="2"/>
        <v>Pass</v>
      </c>
    </row>
    <row r="15" spans="1:14" x14ac:dyDescent="0.15">
      <c r="A15" s="12" t="s">
        <v>210</v>
      </c>
      <c r="B15" s="8" t="s">
        <v>211</v>
      </c>
      <c r="C15" s="8" t="s">
        <v>212</v>
      </c>
      <c r="D15" s="13" t="s">
        <v>191</v>
      </c>
      <c r="E15" s="13">
        <f>COUNTIF(Checklist!$B$4:$B$53,$A15)</f>
        <v>1</v>
      </c>
      <c r="F15" s="13">
        <f>COUNTIFS(Checklist!$B$4:$B$53,$A15,Checklist!$J$4:$J$53,"&lt;&gt;Yes")</f>
        <v>1</v>
      </c>
      <c r="G15" s="13">
        <f>COUNTIFS(Checklist!$B$4:$B$53,$A15,Checklist!$K$4:$K$53,"Pass")</f>
        <v>1</v>
      </c>
      <c r="H15" s="13">
        <f>COUNTIFS(Checklist!$B$4:$B$53,$A15,Checklist!$K$4:$K$53,"Fail")+COUNTIFS(Checklist!$B$4:$B$53,$A15,Checklist!$K$4:$K$53,FALSE)</f>
        <v>0</v>
      </c>
      <c r="I15" s="13">
        <f>COUNTIFS(Checklist!$B$4:$B$53,$A15,Checklist!$K$4:$K$53,"Blocked")</f>
        <v>0</v>
      </c>
      <c r="J15" s="13">
        <f>COUNTIFS(Checklist!$B$4:$B$53,$A15,Checklist!$K$4:$K$53,"N/A")</f>
        <v>0</v>
      </c>
      <c r="K15" s="13">
        <f t="shared" si="0"/>
        <v>0</v>
      </c>
      <c r="L15" s="13">
        <f>F15-COUNTIFS(Checklist!$B$4:$B$53,$A15,Checklist!$J$4:$J$53,"&lt;&gt;Yes",Checklist!$K$4:$K$53,"Pass")-COUNTIFS(Checklist!$B$4:$B$53,$A15,Checklist!$J$4:$J$53,"&lt;&gt;Yes",Checklist!$K$4:$K$53,"N/A")</f>
        <v>0</v>
      </c>
      <c r="M15" s="14">
        <f t="shared" si="1"/>
        <v>1</v>
      </c>
      <c r="N15" s="13" t="str">
        <f t="shared" si="2"/>
        <v>Pass</v>
      </c>
    </row>
    <row r="16" spans="1:14" x14ac:dyDescent="0.15">
      <c r="A16" s="12" t="s">
        <v>216</v>
      </c>
      <c r="B16" s="8" t="s">
        <v>217</v>
      </c>
      <c r="C16" s="8" t="s">
        <v>212</v>
      </c>
      <c r="D16" s="13" t="s">
        <v>191</v>
      </c>
      <c r="E16" s="13">
        <f>COUNTIF(Checklist!$B$4:$B$53,$A16)</f>
        <v>3</v>
      </c>
      <c r="F16" s="13">
        <f>COUNTIFS(Checklist!$B$4:$B$53,$A16,Checklist!$J$4:$J$53,"&lt;&gt;Yes")</f>
        <v>0</v>
      </c>
      <c r="G16" s="13">
        <f>COUNTIFS(Checklist!$B$4:$B$53,$A16,Checklist!$K$4:$K$53,"Pass")</f>
        <v>0</v>
      </c>
      <c r="H16" s="13">
        <f>COUNTIFS(Checklist!$B$4:$B$53,$A16,Checklist!$K$4:$K$53,"Fail")+COUNTIFS(Checklist!$B$4:$B$53,$A16,Checklist!$K$4:$K$53,FALSE)</f>
        <v>0</v>
      </c>
      <c r="I16" s="13">
        <f>COUNTIFS(Checklist!$B$4:$B$53,$A16,Checklist!$K$4:$K$53,"Blocked")</f>
        <v>0</v>
      </c>
      <c r="J16" s="13">
        <f>COUNTIFS(Checklist!$B$4:$B$53,$A16,Checklist!$K$4:$K$53,"N/A")</f>
        <v>0</v>
      </c>
      <c r="K16" s="13">
        <f t="shared" si="0"/>
        <v>3</v>
      </c>
      <c r="L16" s="13">
        <f>F16-COUNTIFS(Checklist!$B$4:$B$53,$A16,Checklist!$J$4:$J$53,"&lt;&gt;Yes",Checklist!$K$4:$K$53,"Pass")-COUNTIFS(Checklist!$B$4:$B$53,$A16,Checklist!$J$4:$J$53,"&lt;&gt;Yes",Checklist!$K$4:$K$53,"N/A")</f>
        <v>0</v>
      </c>
      <c r="M16" s="14">
        <f t="shared" si="1"/>
        <v>0</v>
      </c>
      <c r="N16" s="13" t="str">
        <f t="shared" si="2"/>
        <v>Optional</v>
      </c>
    </row>
    <row r="17" spans="1:14" x14ac:dyDescent="0.15">
      <c r="A17" s="12" t="s">
        <v>228</v>
      </c>
      <c r="B17" s="8" t="s">
        <v>229</v>
      </c>
      <c r="C17" s="8" t="s">
        <v>230</v>
      </c>
      <c r="D17" s="13" t="s">
        <v>230</v>
      </c>
      <c r="E17" s="13">
        <f>COUNTIF(Checklist!$B$4:$B$53,$A17)</f>
        <v>3</v>
      </c>
      <c r="F17" s="13">
        <f>COUNTIFS(Checklist!$B$4:$B$53,$A17,Checklist!$J$4:$J$53,"&lt;&gt;Yes")</f>
        <v>2</v>
      </c>
      <c r="G17" s="13">
        <f>COUNTIFS(Checklist!$B$4:$B$53,$A17,Checklist!$K$4:$K$53,"Pass")</f>
        <v>3</v>
      </c>
      <c r="H17" s="13">
        <f>COUNTIFS(Checklist!$B$4:$B$53,$A17,Checklist!$K$4:$K$53,"Fail")+COUNTIFS(Checklist!$B$4:$B$53,$A17,Checklist!$K$4:$K$53,FALSE)</f>
        <v>0</v>
      </c>
      <c r="I17" s="13">
        <f>COUNTIFS(Checklist!$B$4:$B$53,$A17,Checklist!$K$4:$K$53,"Blocked")</f>
        <v>0</v>
      </c>
      <c r="J17" s="13">
        <f>COUNTIFS(Checklist!$B$4:$B$53,$A17,Checklist!$K$4:$K$53,"N/A")</f>
        <v>0</v>
      </c>
      <c r="K17" s="13">
        <f t="shared" si="0"/>
        <v>0</v>
      </c>
      <c r="L17" s="13">
        <f>F17-COUNTIFS(Checklist!$B$4:$B$53,$A17,Checklist!$J$4:$J$53,"&lt;&gt;Yes",Checklist!$K$4:$K$53,"Pass")-COUNTIFS(Checklist!$B$4:$B$53,$A17,Checklist!$J$4:$J$53,"&lt;&gt;Yes",Checklist!$K$4:$K$53,"N/A")</f>
        <v>0</v>
      </c>
      <c r="M17" s="14">
        <f t="shared" si="1"/>
        <v>1</v>
      </c>
      <c r="N17" s="13" t="str">
        <f t="shared" si="2"/>
        <v>Pass</v>
      </c>
    </row>
    <row r="18" spans="1:14" ht="14.25" customHeight="1" x14ac:dyDescent="0.15">
      <c r="A18" s="12" t="s">
        <v>242</v>
      </c>
      <c r="B18" s="8" t="s">
        <v>243</v>
      </c>
      <c r="C18" s="8" t="s">
        <v>230</v>
      </c>
      <c r="D18" s="13" t="s">
        <v>230</v>
      </c>
      <c r="E18" s="13">
        <f>COUNTIF(Checklist!$B$4:$B$53,$A18)</f>
        <v>2</v>
      </c>
      <c r="F18" s="13">
        <f>COUNTIFS(Checklist!$B$4:$B$53,$A18,Checklist!$J$4:$J$53,"&lt;&gt;Yes")</f>
        <v>2</v>
      </c>
      <c r="G18" s="13">
        <f>COUNTIFS(Checklist!$B$4:$B$53,$A18,Checklist!$K$4:$K$53,"Pass")</f>
        <v>2</v>
      </c>
      <c r="H18" s="13">
        <f>COUNTIFS(Checklist!$B$4:$B$53,$A18,Checklist!$K$4:$K$53,"Fail")+COUNTIFS(Checklist!$B$4:$B$53,$A18,Checklist!$K$4:$K$53,FALSE)</f>
        <v>0</v>
      </c>
      <c r="I18" s="13">
        <f>COUNTIFS(Checklist!$B$4:$B$53,$A18,Checklist!$K$4:$K$53,"Blocked")</f>
        <v>0</v>
      </c>
      <c r="J18" s="13">
        <f>COUNTIFS(Checklist!$B$4:$B$53,$A18,Checklist!$K$4:$K$53,"N/A")</f>
        <v>0</v>
      </c>
      <c r="K18" s="13">
        <f t="shared" si="0"/>
        <v>0</v>
      </c>
      <c r="L18" s="13">
        <f>F18-COUNTIFS(Checklist!$B$4:$B$53,$A18,Checklist!$J$4:$J$53,"&lt;&gt;Yes",Checklist!$K$4:$K$53,"Pass")-COUNTIFS(Checklist!$B$4:$B$53,$A18,Checklist!$J$4:$J$53,"&lt;&gt;Yes",Checklist!$K$4:$K$53,"N/A")</f>
        <v>0</v>
      </c>
      <c r="M18" s="14">
        <f t="shared" si="1"/>
        <v>1</v>
      </c>
      <c r="N18" s="13" t="str">
        <f t="shared" si="2"/>
        <v>Pass</v>
      </c>
    </row>
    <row r="19" spans="1:14" x14ac:dyDescent="0.15">
      <c r="A19" s="12" t="s">
        <v>252</v>
      </c>
      <c r="B19" s="8" t="s">
        <v>253</v>
      </c>
      <c r="C19" s="8" t="s">
        <v>230</v>
      </c>
      <c r="D19" s="13" t="s">
        <v>230</v>
      </c>
      <c r="E19" s="13">
        <f>COUNTIF(Checklist!$B$4:$B$53,$A19)</f>
        <v>1</v>
      </c>
      <c r="F19" s="13">
        <f>COUNTIFS(Checklist!$B$4:$B$53,$A19,Checklist!$J$4:$J$53,"&lt;&gt;Yes")</f>
        <v>1</v>
      </c>
      <c r="G19" s="13">
        <f>COUNTIFS(Checklist!$B$4:$B$53,$A19,Checklist!$K$4:$K$53,"Pass")</f>
        <v>1</v>
      </c>
      <c r="H19" s="13">
        <f>COUNTIFS(Checklist!$B$4:$B$53,$A19,Checklist!$K$4:$K$53,"Fail")+COUNTIFS(Checklist!$B$4:$B$53,$A19,Checklist!$K$4:$K$53,FALSE)</f>
        <v>0</v>
      </c>
      <c r="I19" s="13">
        <f>COUNTIFS(Checklist!$B$4:$B$53,$A19,Checklist!$K$4:$K$53,"Blocked")</f>
        <v>0</v>
      </c>
      <c r="J19" s="13">
        <f>COUNTIFS(Checklist!$B$4:$B$53,$A19,Checklist!$K$4:$K$53,"N/A")</f>
        <v>0</v>
      </c>
      <c r="K19" s="13">
        <f t="shared" si="0"/>
        <v>0</v>
      </c>
      <c r="L19" s="13">
        <f>F19-COUNTIFS(Checklist!$B$4:$B$53,$A19,Checklist!$J$4:$J$53,"&lt;&gt;Yes",Checklist!$K$4:$K$53,"Pass")-COUNTIFS(Checklist!$B$4:$B$53,$A19,Checklist!$J$4:$J$53,"&lt;&gt;Yes",Checklist!$K$4:$K$53,"N/A")</f>
        <v>0</v>
      </c>
      <c r="M19" s="14">
        <f t="shared" si="1"/>
        <v>1</v>
      </c>
      <c r="N19" s="13" t="str">
        <f t="shared" si="2"/>
        <v>Pass</v>
      </c>
    </row>
    <row r="20" spans="1:14" x14ac:dyDescent="0.15">
      <c r="A20" s="12" t="s">
        <v>257</v>
      </c>
      <c r="B20" s="8" t="s">
        <v>258</v>
      </c>
      <c r="C20" s="8" t="s">
        <v>230</v>
      </c>
      <c r="D20" s="13" t="s">
        <v>230</v>
      </c>
      <c r="E20" s="13">
        <f>COUNTIF(Checklist!$B$4:$B$53,$A20)</f>
        <v>2</v>
      </c>
      <c r="F20" s="13">
        <f>COUNTIFS(Checklist!$B$4:$B$53,$A20,Checklist!$J$4:$J$53,"&lt;&gt;Yes")</f>
        <v>2</v>
      </c>
      <c r="G20" s="13">
        <f>COUNTIFS(Checklist!$B$4:$B$53,$A20,Checklist!$K$4:$K$53,"Pass")</f>
        <v>2</v>
      </c>
      <c r="H20" s="13">
        <f>COUNTIFS(Checklist!$B$4:$B$53,$A20,Checklist!$K$4:$K$53,"Fail")+COUNTIFS(Checklist!$B$4:$B$53,$A20,Checklist!$K$4:$K$53,FALSE)</f>
        <v>0</v>
      </c>
      <c r="I20" s="13">
        <f>COUNTIFS(Checklist!$B$4:$B$53,$A20,Checklist!$K$4:$K$53,"Blocked")</f>
        <v>0</v>
      </c>
      <c r="J20" s="13">
        <f>COUNTIFS(Checklist!$B$4:$B$53,$A20,Checklist!$K$4:$K$53,"N/A")</f>
        <v>0</v>
      </c>
      <c r="K20" s="13">
        <f t="shared" si="0"/>
        <v>0</v>
      </c>
      <c r="L20" s="13">
        <f>F20-COUNTIFS(Checklist!$B$4:$B$53,$A20,Checklist!$J$4:$J$53,"&lt;&gt;Yes",Checklist!$K$4:$K$53,"Pass")-COUNTIFS(Checklist!$B$4:$B$53,$A20,Checklist!$J$4:$J$53,"&lt;&gt;Yes",Checklist!$K$4:$K$53,"N/A")</f>
        <v>0</v>
      </c>
      <c r="M20" s="14">
        <f t="shared" si="1"/>
        <v>1</v>
      </c>
      <c r="N20" s="13" t="str">
        <f t="shared" si="2"/>
        <v>Pass</v>
      </c>
    </row>
    <row r="21" spans="1:14" x14ac:dyDescent="0.15">
      <c r="A21" s="12" t="s">
        <v>266</v>
      </c>
      <c r="B21" s="8" t="s">
        <v>267</v>
      </c>
      <c r="C21" s="8" t="s">
        <v>268</v>
      </c>
      <c r="D21" s="13" t="s">
        <v>269</v>
      </c>
      <c r="E21" s="13">
        <f>COUNTIF(Checklist!$B$4:$B$53,$A21)</f>
        <v>5</v>
      </c>
      <c r="F21" s="13">
        <f>COUNTIFS(Checklist!$B$4:$B$53,$A21,Checklist!$J$4:$J$53,"&lt;&gt;Yes")</f>
        <v>5</v>
      </c>
      <c r="G21" s="13">
        <f>COUNTIFS(Checklist!$B$4:$B$53,$A21,Checklist!$K$4:$K$53,"Pass")</f>
        <v>5</v>
      </c>
      <c r="H21" s="13">
        <f>COUNTIFS(Checklist!$B$4:$B$53,$A21,Checklist!$K$4:$K$53,"Fail")+COUNTIFS(Checklist!$B$4:$B$53,$A21,Checklist!$K$4:$K$53,FALSE)</f>
        <v>0</v>
      </c>
      <c r="I21" s="13">
        <f>COUNTIFS(Checklist!$B$4:$B$53,$A21,Checklist!$K$4:$K$53,"Blocked")</f>
        <v>0</v>
      </c>
      <c r="J21" s="13">
        <f>COUNTIFS(Checklist!$B$4:$B$53,$A21,Checklist!$K$4:$K$53,"N/A")</f>
        <v>0</v>
      </c>
      <c r="K21" s="13">
        <f t="shared" si="0"/>
        <v>0</v>
      </c>
      <c r="L21" s="13">
        <f>F21-COUNTIFS(Checklist!$B$4:$B$53,$A21,Checklist!$J$4:$J$53,"&lt;&gt;Yes",Checklist!$K$4:$K$53,"Pass")-COUNTIFS(Checklist!$B$4:$B$53,$A21,Checklist!$J$4:$J$53,"&lt;&gt;Yes",Checklist!$K$4:$K$53,"N/A")</f>
        <v>0</v>
      </c>
      <c r="M21" s="14">
        <f t="shared" si="1"/>
        <v>1</v>
      </c>
      <c r="N21" s="13" t="str">
        <f t="shared" si="2"/>
        <v>Pass</v>
      </c>
    </row>
    <row r="22" spans="1:14" x14ac:dyDescent="0.15">
      <c r="A22" s="12" t="s">
        <v>288</v>
      </c>
      <c r="B22" s="8" t="s">
        <v>289</v>
      </c>
      <c r="C22" s="8" t="s">
        <v>269</v>
      </c>
      <c r="D22" s="13" t="s">
        <v>271</v>
      </c>
      <c r="E22" s="13">
        <f>COUNTIF(Checklist!$B$4:$B$53,$A22)</f>
        <v>2</v>
      </c>
      <c r="F22" s="13">
        <f>COUNTIFS(Checklist!$B$4:$B$53,$A22,Checklist!$J$4:$J$53,"&lt;&gt;Yes")</f>
        <v>1</v>
      </c>
      <c r="G22" s="13">
        <f>COUNTIFS(Checklist!$B$4:$B$53,$A22,Checklist!$K$4:$K$53,"Pass")</f>
        <v>2</v>
      </c>
      <c r="H22" s="13">
        <f>COUNTIFS(Checklist!$B$4:$B$53,$A22,Checklist!$K$4:$K$53,"Fail")+COUNTIFS(Checklist!$B$4:$B$53,$A22,Checklist!$K$4:$K$53,FALSE)</f>
        <v>0</v>
      </c>
      <c r="I22" s="13">
        <f>COUNTIFS(Checklist!$B$4:$B$53,$A22,Checklist!$K$4:$K$53,"Blocked")</f>
        <v>0</v>
      </c>
      <c r="J22" s="13">
        <f>COUNTIFS(Checklist!$B$4:$B$53,$A22,Checklist!$K$4:$K$53,"N/A")</f>
        <v>0</v>
      </c>
      <c r="K22" s="13">
        <f t="shared" si="0"/>
        <v>0</v>
      </c>
      <c r="L22" s="13">
        <f>F22-COUNTIFS(Checklist!$B$4:$B$53,$A22,Checklist!$J$4:$J$53,"&lt;&gt;Yes",Checklist!$K$4:$K$53,"Pass")-COUNTIFS(Checklist!$B$4:$B$53,$A22,Checklist!$J$4:$J$53,"&lt;&gt;Yes",Checklist!$K$4:$K$53,"N/A")</f>
        <v>0</v>
      </c>
      <c r="M22" s="14">
        <f t="shared" si="1"/>
        <v>1</v>
      </c>
      <c r="N22" s="13" t="str">
        <f t="shared" si="2"/>
        <v>Pass</v>
      </c>
    </row>
    <row r="24" spans="1:14" ht="14.25" x14ac:dyDescent="0.2">
      <c r="A24" s="15" t="s">
        <v>269</v>
      </c>
      <c r="B24" s="15" t="s">
        <v>302</v>
      </c>
      <c r="E24" s="16">
        <f t="shared" ref="E24:L24" si="3">SUM(E5:E22)</f>
        <v>42</v>
      </c>
      <c r="F24" s="16">
        <f t="shared" si="3"/>
        <v>30</v>
      </c>
      <c r="G24" s="16">
        <f t="shared" si="3"/>
        <v>34</v>
      </c>
      <c r="H24" s="16">
        <f t="shared" si="3"/>
        <v>0</v>
      </c>
      <c r="I24" s="16">
        <f t="shared" si="3"/>
        <v>0</v>
      </c>
      <c r="J24" s="16">
        <f t="shared" si="3"/>
        <v>4</v>
      </c>
      <c r="K24" s="16">
        <f t="shared" si="3"/>
        <v>4</v>
      </c>
      <c r="L24" s="16">
        <f t="shared" si="3"/>
        <v>0</v>
      </c>
      <c r="M24" s="17">
        <f>IF(E24=0,0,(G24+H24+I24+J24)/E24)</f>
        <v>0.90476190476190477</v>
      </c>
      <c r="N24" s="16" t="str">
        <f>IF(H24&gt;0,"Fail",IF(I24&gt;0,"Blocked",IF(L24=0,"Pass",IF(G24+J24=0,"Not started","In progress"))))</f>
        <v>Pass</v>
      </c>
    </row>
  </sheetData>
  <phoneticPr fontId="9"/>
  <conditionalFormatting sqref="N5:N24">
    <cfRule type="cellIs" dxfId="3" priority="1" operator="equal">
      <formula>"Pass"</formula>
    </cfRule>
    <cfRule type="cellIs" dxfId="2" priority="2" operator="equal">
      <formula>"Fail"</formula>
    </cfRule>
    <cfRule type="cellIs" dxfId="1" priority="3" operator="equal">
      <formula>"Blocked"</formula>
    </cfRule>
    <cfRule type="cellIs" dxfId="0" priority="4" operator="equal">
      <formula>"In progress"</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9"/>
  <sheetViews>
    <sheetView workbookViewId="0"/>
  </sheetViews>
  <sheetFormatPr defaultRowHeight="13.5" x14ac:dyDescent="0.15"/>
  <cols>
    <col min="1" max="1" width="70" customWidth="1"/>
    <col min="2" max="2" width="12" customWidth="1"/>
    <col min="3" max="3" width="62" customWidth="1"/>
  </cols>
  <sheetData>
    <row r="1" spans="1:3" ht="18" customHeight="1" x14ac:dyDescent="0.25">
      <c r="A1" s="4" t="s">
        <v>303</v>
      </c>
    </row>
    <row r="3" spans="1:3" ht="15" x14ac:dyDescent="0.25">
      <c r="A3" s="18" t="s">
        <v>304</v>
      </c>
    </row>
    <row r="4" spans="1:3" ht="14.25" x14ac:dyDescent="0.2">
      <c r="A4" s="19" t="s">
        <v>305</v>
      </c>
      <c r="B4" s="19" t="s">
        <v>86</v>
      </c>
      <c r="C4" s="19" t="s">
        <v>306</v>
      </c>
    </row>
    <row r="5" spans="1:3" ht="30.95" customHeight="1" x14ac:dyDescent="0.15">
      <c r="A5" s="8" t="s">
        <v>307</v>
      </c>
      <c r="B5" s="8" t="s">
        <v>308</v>
      </c>
      <c r="C5" s="8" t="s">
        <v>309</v>
      </c>
    </row>
    <row r="6" spans="1:3" ht="30.95" customHeight="1" x14ac:dyDescent="0.15">
      <c r="A6" s="8" t="s">
        <v>310</v>
      </c>
      <c r="B6" s="8" t="s">
        <v>311</v>
      </c>
      <c r="C6" s="8" t="s">
        <v>312</v>
      </c>
    </row>
    <row r="7" spans="1:3" ht="30.95" customHeight="1" x14ac:dyDescent="0.15">
      <c r="A7" s="8" t="s">
        <v>313</v>
      </c>
      <c r="B7" s="8" t="s">
        <v>314</v>
      </c>
      <c r="C7" s="8" t="s">
        <v>315</v>
      </c>
    </row>
    <row r="8" spans="1:3" ht="30.95" customHeight="1" x14ac:dyDescent="0.15">
      <c r="A8" s="8" t="s">
        <v>316</v>
      </c>
      <c r="B8" s="8" t="s">
        <v>271</v>
      </c>
      <c r="C8" s="8" t="s">
        <v>317</v>
      </c>
    </row>
    <row r="9" spans="1:3" ht="44.45" customHeight="1" x14ac:dyDescent="0.15">
      <c r="A9" s="8" t="s">
        <v>318</v>
      </c>
      <c r="B9" s="8" t="s">
        <v>271</v>
      </c>
      <c r="C9" s="8" t="s">
        <v>319</v>
      </c>
    </row>
    <row r="10" spans="1:3" ht="30.95" customHeight="1" x14ac:dyDescent="0.15">
      <c r="A10" s="8" t="s">
        <v>320</v>
      </c>
      <c r="B10" s="8" t="s">
        <v>321</v>
      </c>
      <c r="C10" s="8" t="s">
        <v>322</v>
      </c>
    </row>
    <row r="11" spans="1:3" ht="30.95" customHeight="1" x14ac:dyDescent="0.15">
      <c r="A11" s="8" t="s">
        <v>323</v>
      </c>
      <c r="B11" s="8" t="s">
        <v>324</v>
      </c>
      <c r="C11" s="8" t="s">
        <v>325</v>
      </c>
    </row>
    <row r="12" spans="1:3" ht="30.95" customHeight="1" x14ac:dyDescent="0.15">
      <c r="A12" s="8" t="s">
        <v>326</v>
      </c>
      <c r="B12" s="8" t="s">
        <v>230</v>
      </c>
      <c r="C12" s="8" t="s">
        <v>327</v>
      </c>
    </row>
    <row r="13" spans="1:3" ht="17.45" customHeight="1" x14ac:dyDescent="0.15">
      <c r="A13" s="8" t="s">
        <v>328</v>
      </c>
      <c r="B13" s="8" t="s">
        <v>329</v>
      </c>
      <c r="C13" s="8" t="s">
        <v>330</v>
      </c>
    </row>
    <row r="14" spans="1:3" ht="17.45" customHeight="1" x14ac:dyDescent="0.15">
      <c r="A14" s="8" t="s">
        <v>331</v>
      </c>
      <c r="B14" s="8" t="s">
        <v>332</v>
      </c>
      <c r="C14" s="8" t="s">
        <v>333</v>
      </c>
    </row>
    <row r="15" spans="1:3" ht="30.95" customHeight="1" x14ac:dyDescent="0.15">
      <c r="A15" s="8" t="s">
        <v>334</v>
      </c>
      <c r="B15" s="8" t="s">
        <v>335</v>
      </c>
      <c r="C15" s="8" t="s">
        <v>336</v>
      </c>
    </row>
    <row r="16" spans="1:3" ht="30.95" customHeight="1" x14ac:dyDescent="0.15">
      <c r="A16" s="8" t="s">
        <v>337</v>
      </c>
      <c r="B16" s="8" t="s">
        <v>338</v>
      </c>
      <c r="C16" s="8" t="s">
        <v>339</v>
      </c>
    </row>
    <row r="17" spans="1:3" ht="30.95" customHeight="1" x14ac:dyDescent="0.15">
      <c r="A17" s="8" t="s">
        <v>340</v>
      </c>
      <c r="B17" s="8" t="s">
        <v>341</v>
      </c>
      <c r="C17" s="8" t="s">
        <v>342</v>
      </c>
    </row>
    <row r="18" spans="1:3" ht="30.95" customHeight="1" x14ac:dyDescent="0.15">
      <c r="A18" s="8" t="s">
        <v>343</v>
      </c>
      <c r="B18" s="8" t="s">
        <v>271</v>
      </c>
      <c r="C18" s="8" t="s">
        <v>344</v>
      </c>
    </row>
    <row r="20" spans="1:3" ht="15" x14ac:dyDescent="0.25">
      <c r="A20" s="18" t="s">
        <v>345</v>
      </c>
    </row>
    <row r="21" spans="1:3" ht="14.25" x14ac:dyDescent="0.2">
      <c r="A21" s="19" t="s">
        <v>305</v>
      </c>
      <c r="B21" s="19" t="s">
        <v>86</v>
      </c>
      <c r="C21" s="19" t="s">
        <v>346</v>
      </c>
    </row>
    <row r="22" spans="1:3" ht="30.95" customHeight="1" x14ac:dyDescent="0.15">
      <c r="A22" s="8" t="s">
        <v>347</v>
      </c>
      <c r="B22" s="8" t="s">
        <v>104</v>
      </c>
      <c r="C22" s="8" t="s">
        <v>348</v>
      </c>
    </row>
    <row r="23" spans="1:3" ht="30.95" customHeight="1" x14ac:dyDescent="0.15">
      <c r="A23" s="8" t="s">
        <v>349</v>
      </c>
      <c r="B23" s="8" t="s">
        <v>138</v>
      </c>
      <c r="C23" s="8" t="s">
        <v>136</v>
      </c>
    </row>
    <row r="24" spans="1:3" ht="30.95" customHeight="1" x14ac:dyDescent="0.15">
      <c r="A24" s="8" t="s">
        <v>350</v>
      </c>
      <c r="B24" s="8" t="s">
        <v>148</v>
      </c>
      <c r="C24" s="8" t="s">
        <v>351</v>
      </c>
    </row>
    <row r="25" spans="1:3" ht="17.45" customHeight="1" x14ac:dyDescent="0.15">
      <c r="A25" s="8" t="s">
        <v>352</v>
      </c>
      <c r="B25" s="8" t="s">
        <v>190</v>
      </c>
      <c r="C25" s="8" t="s">
        <v>188</v>
      </c>
    </row>
    <row r="26" spans="1:3" ht="17.45" customHeight="1" x14ac:dyDescent="0.15">
      <c r="A26" s="8" t="s">
        <v>353</v>
      </c>
      <c r="B26" s="8" t="s">
        <v>203</v>
      </c>
      <c r="C26" s="8" t="s">
        <v>201</v>
      </c>
    </row>
    <row r="27" spans="1:3" ht="17.45" customHeight="1" x14ac:dyDescent="0.15">
      <c r="A27" s="8" t="s">
        <v>354</v>
      </c>
      <c r="B27" s="8" t="s">
        <v>212</v>
      </c>
      <c r="C27" s="8" t="s">
        <v>216</v>
      </c>
    </row>
    <row r="28" spans="1:3" ht="30.95" customHeight="1" x14ac:dyDescent="0.15">
      <c r="A28" s="8" t="s">
        <v>355</v>
      </c>
      <c r="B28" s="8" t="s">
        <v>230</v>
      </c>
      <c r="C28" s="8" t="s">
        <v>356</v>
      </c>
    </row>
    <row r="30" spans="1:3" ht="15" x14ac:dyDescent="0.25">
      <c r="A30" s="18" t="s">
        <v>357</v>
      </c>
    </row>
    <row r="31" spans="1:3" ht="14.25" x14ac:dyDescent="0.2">
      <c r="A31" s="19" t="s">
        <v>358</v>
      </c>
      <c r="B31" s="19" t="s">
        <v>359</v>
      </c>
      <c r="C31" s="19" t="s">
        <v>360</v>
      </c>
    </row>
    <row r="32" spans="1:3" x14ac:dyDescent="0.15">
      <c r="A32" s="20"/>
      <c r="B32" s="20"/>
      <c r="C32" s="20"/>
    </row>
    <row r="33" spans="1:3" x14ac:dyDescent="0.15">
      <c r="A33" s="20"/>
      <c r="B33" s="20"/>
      <c r="C33" s="20"/>
    </row>
    <row r="34" spans="1:3" x14ac:dyDescent="0.15">
      <c r="A34" s="20"/>
      <c r="B34" s="20"/>
      <c r="C34" s="20"/>
    </row>
    <row r="35" spans="1:3" x14ac:dyDescent="0.15">
      <c r="A35" s="20"/>
      <c r="B35" s="20"/>
      <c r="C35" s="20"/>
    </row>
    <row r="36" spans="1:3" x14ac:dyDescent="0.15">
      <c r="A36" s="20"/>
      <c r="B36" s="20"/>
      <c r="C36" s="20"/>
    </row>
    <row r="37" spans="1:3" x14ac:dyDescent="0.15">
      <c r="A37" s="20"/>
      <c r="B37" s="20"/>
      <c r="C37" s="20"/>
    </row>
    <row r="38" spans="1:3" x14ac:dyDescent="0.15">
      <c r="A38" s="20"/>
      <c r="B38" s="20"/>
      <c r="C38" s="20"/>
    </row>
    <row r="39" spans="1:3" x14ac:dyDescent="0.15">
      <c r="A39" s="20"/>
      <c r="B39" s="20"/>
      <c r="C39" s="20"/>
    </row>
  </sheetData>
  <phoneticPr fontId="9"/>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Read me</vt:lpstr>
      <vt:lpstr>Checklist</vt:lpstr>
      <vt:lpstr>Summary</vt:lpstr>
      <vt:lpstr>Known 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コンスタンティン ミハイロフ</cp:lastModifiedBy>
  <dcterms:created xsi:type="dcterms:W3CDTF">2026-10-22T16:20:35Z</dcterms:created>
  <dcterms:modified xsi:type="dcterms:W3CDTF">2026-10-24T08:18:23Z</dcterms:modified>
</cp:coreProperties>
</file>