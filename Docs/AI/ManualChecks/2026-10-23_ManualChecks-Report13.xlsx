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Lesson\FallenStar-Spellcasters\Docs\AI\ManualChecks\"/>
    </mc:Choice>
  </mc:AlternateContent>
  <xr:revisionPtr revIDLastSave="0" documentId="13_ncr:1_{4E8DC6D2-49DD-476D-9D4B-D89C515E2ADC}" xr6:coauthVersionLast="47" xr6:coauthVersionMax="47" xr10:uidLastSave="{00000000-0000-0000-0000-000000000000}"/>
  <bookViews>
    <workbookView xWindow="-120" yWindow="-120" windowWidth="38640" windowHeight="23520" activeTab="1" xr2:uid="{00000000-000D-0000-FFFF-FFFF00000000}"/>
  </bookViews>
  <sheets>
    <sheet name="Read me" sheetId="1" r:id="rId1"/>
    <sheet name="Checklist" sheetId="2" r:id="rId2"/>
    <sheet name="Summary" sheetId="3" r:id="rId3"/>
    <sheet name="Known issues" sheetId="4" r:id="rId4"/>
  </sheets>
  <definedNames>
    <definedName name="_xlnm._FilterDatabase" localSheetId="1" hidden="1">Checklist!$A$3:$N$52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6" i="3" l="1"/>
  <c r="I16" i="3"/>
  <c r="H16" i="3"/>
  <c r="G16" i="3"/>
  <c r="F16" i="3"/>
  <c r="L16" i="3" s="1"/>
  <c r="E16" i="3"/>
  <c r="J15" i="3"/>
  <c r="I15" i="3"/>
  <c r="H15" i="3"/>
  <c r="G15" i="3"/>
  <c r="F15" i="3"/>
  <c r="L15" i="3" s="1"/>
  <c r="E15" i="3"/>
  <c r="J14" i="3"/>
  <c r="I14" i="3"/>
  <c r="H14" i="3"/>
  <c r="G14" i="3"/>
  <c r="F14" i="3"/>
  <c r="L14" i="3" s="1"/>
  <c r="E14" i="3"/>
  <c r="J13" i="3"/>
  <c r="I13" i="3"/>
  <c r="H13" i="3"/>
  <c r="G13" i="3"/>
  <c r="F13" i="3"/>
  <c r="L13" i="3" s="1"/>
  <c r="E13" i="3"/>
  <c r="J12" i="3"/>
  <c r="I12" i="3"/>
  <c r="H12" i="3"/>
  <c r="G12" i="3"/>
  <c r="F12" i="3"/>
  <c r="L12" i="3" s="1"/>
  <c r="E12" i="3"/>
  <c r="J11" i="3"/>
  <c r="I11" i="3"/>
  <c r="H11" i="3"/>
  <c r="G11" i="3"/>
  <c r="F11" i="3"/>
  <c r="L11" i="3" s="1"/>
  <c r="E11" i="3"/>
  <c r="J10" i="3"/>
  <c r="I10" i="3"/>
  <c r="H10" i="3"/>
  <c r="G10" i="3"/>
  <c r="F10" i="3"/>
  <c r="L10" i="3" s="1"/>
  <c r="E10" i="3"/>
  <c r="J9" i="3"/>
  <c r="I9" i="3"/>
  <c r="H9" i="3"/>
  <c r="G9" i="3"/>
  <c r="F9" i="3"/>
  <c r="L9" i="3" s="1"/>
  <c r="E9" i="3"/>
  <c r="J8" i="3"/>
  <c r="I8" i="3"/>
  <c r="H8" i="3"/>
  <c r="G8" i="3"/>
  <c r="F8" i="3"/>
  <c r="L8" i="3" s="1"/>
  <c r="E8" i="3"/>
  <c r="J7" i="3"/>
  <c r="I7" i="3"/>
  <c r="H7" i="3"/>
  <c r="G7" i="3"/>
  <c r="F7" i="3"/>
  <c r="L7" i="3" s="1"/>
  <c r="E7" i="3"/>
  <c r="J6" i="3"/>
  <c r="I6" i="3"/>
  <c r="H6" i="3"/>
  <c r="G6" i="3"/>
  <c r="F6" i="3"/>
  <c r="L6" i="3" s="1"/>
  <c r="E6" i="3"/>
  <c r="J5" i="3"/>
  <c r="I5" i="3"/>
  <c r="H5" i="3"/>
  <c r="G5" i="3"/>
  <c r="F5" i="3"/>
  <c r="E5" i="3"/>
  <c r="J18" i="3" l="1"/>
  <c r="K14" i="3"/>
  <c r="G18" i="3"/>
  <c r="I18" i="3"/>
  <c r="K6" i="3"/>
  <c r="K16" i="3"/>
  <c r="M16" i="3"/>
  <c r="M15" i="3"/>
  <c r="K15" i="3"/>
  <c r="N14" i="3"/>
  <c r="M14" i="3"/>
  <c r="M13" i="3"/>
  <c r="K13" i="3"/>
  <c r="K12" i="3"/>
  <c r="M12" i="3"/>
  <c r="M11" i="3"/>
  <c r="K11" i="3"/>
  <c r="M10" i="3"/>
  <c r="K10" i="3"/>
  <c r="M9" i="3"/>
  <c r="K9" i="3"/>
  <c r="M8" i="3"/>
  <c r="K8" i="3"/>
  <c r="M7" i="3"/>
  <c r="K7" i="3"/>
  <c r="N6" i="3"/>
  <c r="M6" i="3"/>
  <c r="H18" i="3"/>
  <c r="F18" i="3"/>
  <c r="L5" i="3"/>
  <c r="E18" i="3"/>
  <c r="M5" i="3"/>
  <c r="K5" i="3"/>
  <c r="N16" i="3"/>
  <c r="N8" i="3"/>
  <c r="N7" i="3"/>
  <c r="N15" i="3"/>
  <c r="N9" i="3"/>
  <c r="N13" i="3"/>
  <c r="N12" i="3"/>
  <c r="N11" i="3"/>
  <c r="N10" i="3"/>
  <c r="K18" i="3" l="1"/>
  <c r="M18" i="3"/>
  <c r="L18" i="3"/>
  <c r="N18" i="3" s="1"/>
  <c r="N5" i="3"/>
</calcChain>
</file>

<file path=xl/sharedStrings.xml><?xml version="1.0" encoding="utf-8"?>
<sst xmlns="http://schemas.openxmlformats.org/spreadsheetml/2006/main" count="723" uniqueCount="368">
  <si>
    <t>About</t>
  </si>
  <si>
    <t>Date / baseline</t>
  </si>
  <si>
    <t>2026-10-23. HEAD = 6d89a09 ('N50_N52') plus the uncommitted working tree: Codex's implementation of TASK-N54_N56_N57, TASK-N55_N58_N32 and TASK-N33_N34_N35. Line numbers are from the working tree.</t>
  </si>
  <si>
    <t>Sources</t>
  </si>
  <si>
    <t>Issue Report #13 §1–§5 (Docs/AI/Reports/2026-10-23_IssueReport-13.md), §9 of the three specs (Docs/AI/Tasks/), and Codex's report 2026-10-22_N32-N35_N54-N58_Implementation.md §6.</t>
  </si>
  <si>
    <t>Code review (Claude)</t>
  </si>
  <si>
    <t>I checked Codex's diff against each spec: it matches, with no defects (report #13 §1).
• N54: the table card's text canvas no longer catches clicks. Codex's harness measured the old bug (right-hand cards: UI hit at 4 of 4 points) and the fix (0).
• N57: an early Confirm Turn no longer binds the HUD half-way.
• N56, N55, N58, N32: guards. N33: dead code and 2 prefabs removed. N34: 25 release log lines gated, 5 deleted. N35: HP and Life texts written only on change.
Codex's release build succeeded. I didn't run Unity myself. No harness can play a real client, so this checklist is the real test.</t>
  </si>
  <si>
    <t>Why</t>
  </si>
  <si>
    <t>When this checklist passes, the three tasks can be committed and nine issues close. Section F measures N59 (the host quitting) before it is fixed, so the fix has a 'before'.</t>
  </si>
  <si>
    <t>Who runs it</t>
  </si>
  <si>
    <t>The developer: A–F and H in two Unity Editors (ParrelSync), G with a new Windows build plus an Editor. The AI agents can't run two instances.</t>
  </si>
  <si>
    <t>Order</t>
  </si>
  <si>
    <t>A → E in one or two matches (they can share matches). Then F (it ends matches on purpose). Then G (build). H at the end. I only after you commit.</t>
  </si>
  <si>
    <t>How to report</t>
  </si>
  <si>
    <t>1. Set Status on every row of the Checklist sheet. The Summary sheet updates by itself.
2. For every Fail, paste the Console text (error plus stack trace) into 'Console output / notes'. For a visual Fail, save a screenshot and write its file name there. Clear on Play is on, so copy the Console before you press Play again.
3. Research rows (F) describe today's behavior: Pass means you saw what the row describes. If you saw something else, mark Fail and describe it.
4. If you run rows on your second machine, write 'PC 2' in Tested by.
5. New problems you notice: add them at the bottom of the Known issues sheet ('Found during the checks'). I read every sheet.
6. Tell Claude when you're done.</t>
  </si>
  <si>
    <t>Legend</t>
  </si>
  <si>
    <t>Cells to fill in</t>
  </si>
  <si>
    <t>Only the yellow cells on the Checklist sheet: Status, Tested by, Date, Console output / notes. Everything else is reference text or formulas.</t>
  </si>
  <si>
    <t>Pass</t>
  </si>
  <si>
    <t>Every expected result in the row was seen.</t>
  </si>
  <si>
    <t>Fail</t>
  </si>
  <si>
    <t>At least one expected result wasn't seen, or a new error appeared. Add the Console text or a screenshot name. (Typing False also counts as Fail.)</t>
  </si>
  <si>
    <t>Blocked</t>
  </si>
  <si>
    <t>The row couldn't be run (e.g. an earlier failure, the card never drawn). Say why in the notes.</t>
  </si>
  <si>
    <t>Not run</t>
  </si>
  <si>
    <t>Skipped on purpose. Fine for optional rows; for a required row it keeps the group open.</t>
  </si>
  <si>
    <t>N/A</t>
  </si>
  <si>
    <t>Doesn't apply in this setup. Counts like a Pass for the group result.</t>
  </si>
  <si>
    <t>Optional = Yes</t>
  </si>
  <si>
    <t>Optional rows don't hold back a group's Pass result.</t>
  </si>
  <si>
    <t>Grey text</t>
  </si>
  <si>
    <t>In a group's second and later rows, Check / Covers / Task / Run as / Size repeat the first row so that filtering works.</t>
  </si>
  <si>
    <t>Example of a filled row</t>
  </si>
  <si>
    <t>ID / Status</t>
  </si>
  <si>
    <t>A2.1  →  Fail</t>
  </si>
  <si>
    <t>Tested by / Date</t>
  </si>
  <si>
    <t>Client window  /  2026-10-23</t>
  </si>
  <si>
    <t>Console output / notes</t>
  </si>
  <si>
    <t>Click on the name text of the right-hand card opened nothing; the middle worked. clone-editor.log: &lt;paste lines&gt;. Screenshot: A2-1_client.png.</t>
  </si>
  <si>
    <t>Preparation</t>
  </si>
  <si>
    <t>1. The clone with its own log</t>
  </si>
  <si>
    <t>2. Console</t>
  </si>
  <si>
    <t>In both Editors, open the Console: Collapse off, Clear on Play on.</t>
  </si>
  <si>
    <t>3. Clean start</t>
  </si>
  <si>
    <t>Both Editors are in English. git status may show the font asset as modified: that's fine during the checks (see 'Before you commit').</t>
  </si>
  <si>
    <t>4. Start a match</t>
  </si>
  <si>
    <t>Log in and go to the Lobby in both windows. The main Editor presses Create Lobby: from now on it's the host window. The clone presses Find Lobby, selects the lobby and presses Join: it's the client window. The host presses Start game.</t>
  </si>
  <si>
    <t>5. Game view</t>
  </si>
  <si>
    <t>1920×1080 in both Editors is enough this time (no layout checks).</t>
  </si>
  <si>
    <t>6. Phase log</t>
  </si>
  <si>
    <t>The Editors keep their debug logs on purpose (only release builds are quiet). The host Console logs every phase: 'Round break phase started', 'DrawPhase started', 'Card selection phase started.', 'Player Action phase started', 'Waiting for Respawn', 'GameMaster: match ended …'.</t>
  </si>
  <si>
    <t>Useful facts</t>
  </si>
  <si>
    <t>Table sides</t>
  </si>
  <si>
    <t>Both windows look at the table from the same camera. The HOST's cards, pony and blocks are always on the LEFT (red side); the CLIENT's are on the RIGHT (blue side). The old bug (N54) hit only the right-hand cards, in both windows.</t>
  </si>
  <si>
    <t>The big card</t>
  </si>
  <si>
    <t>Left-clicking a card on the table, or hovering a card in the bottom row, shows the card large at the left edge. It never takes clicks. It hides on the next world click or when the pointer leaves the row.</t>
  </si>
  <si>
    <t>Casting</t>
  </si>
  <si>
    <t>In your Player action: left-click the played card in the BOTTOM HUD ROW → click the target on the table → Confirm → Send. Clicking a table card only shows its big card; it doesn't pick it for casting. Self cards (Healing Hooves, Clarity) choose their target automatically.</t>
  </si>
  <si>
    <t>The bottom row</t>
  </si>
  <si>
    <t>In Card Selection it shows your hand. In Player action it shows the cards you played this round.</t>
  </si>
  <si>
    <t>Phases (en)</t>
  </si>
  <si>
    <t>Line 1 of the announcer: 'Round preparation' (5 s; it still shows while cards are dealt), 'Card Selection' (60 s), 'Player action' (60 s per player), 'Waiting for respawn' (30 s).</t>
  </si>
  <si>
    <t>Turn order</t>
  </si>
  <si>
    <t>The player whose selected cards (play and discard) cost more goes first.</t>
  </si>
  <si>
    <t>Controls</t>
  </si>
  <si>
    <t>Hand cards: left-click = play, right-click = discard. Confirm Turn confirms the selection in Card Selection, ends your Player action, and confirms the respawn block in Waiting for respawn. W/A/S/D = one step (own Player action). Space = −10 HP to yourself (own Player action; Editor and development builds only).</t>
  </si>
  <si>
    <t>Cards (en / ru)</t>
  </si>
  <si>
    <t>Ice Shard / Ледяной осколок: 2 mana, 20 damage to the opponent's pony. Fireball / Огненный шар: 3 mana, 50 damage to an opponent block. Clarity / Ясность: 3 mana, draw 2. Healing Hooves / Исцеляющие копыта: 4 mana, heal yourself 30.</t>
  </si>
  <si>
    <t>Numbers</t>
  </si>
  <si>
    <t>Pony HP 100, block HP 100, 3 lives, 25 blocks per player. Mana 2 → 4 → 6 … up to 20. 2 new cards per player per round. Hand limit 10.</t>
  </si>
  <si>
    <t>HUD texts</t>
  </si>
  <si>
    <t>en 'HP : 100' / 'Life : 3'; ru 'ХП : 100' / 'Жизни : 3'; ja 'HP : 100' / 'ライフ : 3'. When a player is out of lives: 'Player Dead' / 'Игрок погиб' / 'プレイヤー死亡'.</t>
  </si>
  <si>
    <t>Result texts (en)</t>
  </si>
  <si>
    <t>Titles: 'Victory!', 'Defeat', 'Draw'. Reasons: 'Your opponent left the match.', 'You left the match.', 'Your opponent lost all their lives.', 'You lost all your lives.', 'Both players lost all their lives.'</t>
  </si>
  <si>
    <t>Kill a pony at any moment</t>
  </si>
  <si>
    <t>In the HOST window's Scene view, select the pony (PonyBase(Clone)) and drag it sideways off its platform, or add about 20 to its Transform Position X or Z. It falls into the lava and dies. Host window only: the lava check runs on the server.</t>
  </si>
  <si>
    <t>Switch language</t>
  </si>
  <si>
    <t>Main menu → Settings (remembered). In the lobby or during a match: Window → Asset Management → Localization Scene Controls → Active Locale.</t>
  </si>
  <si>
    <t>Player build</t>
  </si>
  <si>
    <t>Build to C:\Lesson\Spellcasters.Build\ (row G1.1). Its log: %USERPROFILE%\AppData\LocalLow\DefaultCompany\FallenStar-Spellcasters\Player.log (moved to Player-prev.log at each start). Make a NEW build: an older build can't play against today's Editor, because N33 removed network messages.</t>
  </si>
  <si>
    <t>Changes from the last checklist (2026-10-22)</t>
  </si>
  <si>
    <t>IDs</t>
  </si>
  <si>
    <t>New numbering: A–I here aren't last round's A–C.</t>
  </si>
  <si>
    <t>Now fixed</t>
  </si>
  <si>
    <t>N54 (right-hand table cards), N57 (early Confirm Turn), N56, N55, N58, N32, N33, N34 (release logs), N35. Mark the row Fail if you see them again (Known issues sheet, second table).</t>
  </si>
  <si>
    <t>Your note from last time</t>
  </si>
  <si>
    <t>'When host close his application, client don't get a result scene' is now N59. Section F measures it; the fix waits for your answer in the poll (P1).</t>
  </si>
  <si>
    <t>Clean-up sheet</t>
  </si>
  <si>
    <t>Gone: its steps are below.</t>
  </si>
  <si>
    <t>Before you commit</t>
  </si>
  <si>
    <t>1. Language</t>
  </si>
  <si>
    <t>Set both Editors back to English.</t>
  </si>
  <si>
    <t>2. The font</t>
  </si>
  <si>
    <t>With both Editors closed: git restore "Assets/Fonts/MPLUSRounded1c-Medium SDF.asset" (ru/ja text in the Editor changes it again). If you answer the poll's P3 with b, use git checkout 72a724c -- "Assets/Fonts/MPLUSRounded1c-Medium SDF.asset" instead.</t>
  </si>
  <si>
    <t>3. Section I</t>
  </si>
  <si>
    <t>Run I only after the commit: git restore on GameScene.unity would otherwise also undo N33's scene change.</t>
  </si>
  <si>
    <t>QA checklist: N54–N58, N32–N35 and N59 research (Issue Report #13)</t>
  </si>
  <si>
    <t>Baseline 6d89a09 plus the working tree (2026-10-23). Fill in only the yellow cells. Research rows (F) describe today's behavior: Pass = you saw it.</t>
  </si>
  <si>
    <t>ID</t>
  </si>
  <si>
    <t>Group</t>
  </si>
  <si>
    <t>Check</t>
  </si>
  <si>
    <t>Covers</t>
  </si>
  <si>
    <t>Task</t>
  </si>
  <si>
    <t>Run as</t>
  </si>
  <si>
    <t>Size</t>
  </si>
  <si>
    <t>Steps</t>
  </si>
  <si>
    <t>Expected result</t>
  </si>
  <si>
    <t>Optional</t>
  </si>
  <si>
    <t>Status</t>
  </si>
  <si>
    <t>Tested by</t>
  </si>
  <si>
    <t>Date</t>
  </si>
  <si>
    <t>A. Table-card clicks: both sides in both windows. Two Editors; main = host, clone = client.</t>
  </si>
  <si>
    <t>A1.1</t>
  </si>
  <si>
    <t>A1</t>
  </si>
  <si>
    <t>Host window: clicking table cards opens the big card</t>
  </si>
  <si>
    <t>N54</t>
  </si>
  <si>
    <t>N54_N56_N57</t>
  </si>
  <si>
    <t>Host</t>
  </si>
  <si>
    <t>1920×1080</t>
  </si>
  <si>
    <t>Start a match (Read me → Preparation 4). Both players select 1–2 cards to play and press Confirm Turn. When 'Player action' starts, the played cards lie on the table: the host's on the LEFT, the client's on the RIGHT. In the HOST window, left-click the middle of each LEFT-hand card.</t>
  </si>
  <si>
    <t>Each click shows that card as the big card at the left edge of the screen.</t>
  </si>
  <si>
    <t>A1.2</t>
  </si>
  <si>
    <t>Still in the host window, left-click each RIGHT-hand (client's) card three times: on its middle, on its name text, on its picture.</t>
  </si>
  <si>
    <t>Every click shows that card's big card. (Before the fix nothing opened here: N54.)</t>
  </si>
  <si>
    <t>A2.1</t>
  </si>
  <si>
    <t>A2</t>
  </si>
  <si>
    <t>Client window: clicking table cards opens the big card</t>
  </si>
  <si>
    <t>Client</t>
  </si>
  <si>
    <t>In the CLIENT window, the same three clicks (middle, name text, picture) on each RIGHT-hand card: the client's own cards.</t>
  </si>
  <si>
    <t>Every click shows the big card. This is last round's failed A2.1.</t>
  </si>
  <si>
    <t>A2.2</t>
  </si>
  <si>
    <t>In the client window, left-click the middle of each LEFT-hand (host's) card.</t>
  </si>
  <si>
    <t>Each click shows the big card.</t>
  </si>
  <si>
    <t>A3.1</t>
  </si>
  <si>
    <t>A3</t>
  </si>
  <si>
    <t>The table looks and behaves as before</t>
  </si>
  <si>
    <t>Both</t>
  </si>
  <si>
    <t>Look at the table cards on both sides, in both windows.</t>
  </si>
  <si>
    <t>Name, cost and description render on the cards as in the last round: nothing missing or newly mirrored, no flicker.</t>
  </si>
  <si>
    <t>A3.2</t>
  </si>
  <si>
    <t>With a big card shown, left-click empty ground or the sky.</t>
  </si>
  <si>
    <t>The big card disappears.</t>
  </si>
  <si>
    <t>A3.3</t>
  </si>
  <si>
    <t>In a later round's Player action (new cards on the table), repeat one right-hand click in each window.</t>
  </si>
  <si>
    <t>Still opens the big card.</t>
  </si>
  <si>
    <t>Yes</t>
  </si>
  <si>
    <t>B. Casting through the HUD row; Confirm and Send. Two Editors.</t>
  </si>
  <si>
    <t>B1.1</t>
  </si>
  <si>
    <t>B1</t>
  </si>
  <si>
    <t>Casting still works, for both players</t>
  </si>
  <si>
    <t>N54, N58, N32</t>
  </si>
  <si>
    <t>N55_N58_N32</t>
  </si>
  <si>
    <t>In the CLIENT's own Player action: left-click a played Ice Shard (or Fireball) in the bottom HUD row → left-click its target on the table (Ice Shard: the host's pony; Fireball: one of the host's blocks) → Confirm → Send.</t>
  </si>
  <si>
    <t>The effect shows in both windows: the host's pony loses 20 HP (or the block 50 HP). The host Console has no 'Card package rejected. Invalid target count' warning.</t>
  </si>
  <si>
    <t>B1.2</t>
  </si>
  <si>
    <t>The same in the HOST's own Player action, at the client's pony or block.</t>
  </si>
  <si>
    <t>The effect shows in both windows; no 'Card package rejected' warning.</t>
  </si>
  <si>
    <t>B1.3</t>
  </si>
  <si>
    <t>Play Healing Hooves or Clarity: pick it in the HUD row → Confirm → Send (the target is chosen automatically).</t>
  </si>
  <si>
    <t>Healing Hooves: your HP rises by up to 30 (max 100). Clarity: your hand has 2 more cards at the next Card Selection.</t>
  </si>
  <si>
    <t>B1.4</t>
  </si>
  <si>
    <t>Click hand cards in the bottom row, and the Confirm / Send / Confirm Turn buttons, at places where table objects (cards, blocks, ponies) lie behind them on screen.</t>
  </si>
  <si>
    <t>Only the HUD reacts. No table object gets selected and no big card opens from the table behind the HUD.</t>
  </si>
  <si>
    <t>B2.1</t>
  </si>
  <si>
    <t>B2</t>
  </si>
  <si>
    <t>Confirm and Send at odd moments</t>
  </si>
  <si>
    <t>N56</t>
  </si>
  <si>
    <t>In your own Player action, press Confirm and then Send without picking a card.</t>
  </si>
  <si>
    <t>Only the known warnings 'No card selected for control package.' and 'Send ignored: no card target was confirmed.' No exception.</t>
  </si>
  <si>
    <t>B2.2</t>
  </si>
  <si>
    <t>Start a new match. Right after the client's match screen appears (before the first banner), press Confirm and Send a few times in the client window.</t>
  </si>
  <si>
    <t>No NullReferenceException. At most one 'ConfirmSelect ignored …' or 'TryConfirmSend ignored …' warning per press, or nothing.</t>
  </si>
  <si>
    <t>C. Confirm Turn pressed before the match starts. Two Editors.</t>
  </si>
  <si>
    <t>C1.1</t>
  </si>
  <si>
    <t>C1</t>
  </si>
  <si>
    <t>An early Confirm Turn doesn't break the hand row</t>
  </si>
  <si>
    <t>N57</t>
  </si>
  <si>
    <t>Start a new match. In the HOST window, as soon as the match screen (HUD) appears and before the first banner 'Round preparation', press Confirm Turn 3–5 times quickly.</t>
  </si>
  <si>
    <t>No error in the Console. When Card Selection starts, the host's bottom row shows the dealt hand as usual, and cards can be selected. (If the banner came before you could click, mark Blocked: G1.3 repeats this with the build as host, where the window is longer.)</t>
  </si>
  <si>
    <t>C1.2</t>
  </si>
  <si>
    <t>Play on for at least two more rounds.</t>
  </si>
  <si>
    <t>Every Card Selection shows the hand; every Player action shows your played cards. (N57's symptom was an empty row for the whole match.)</t>
  </si>
  <si>
    <t>C1.3</t>
  </si>
  <si>
    <t>Same quick Confirm Turn presses in the CLIENT window right after its match screen appears, then play two rounds.</t>
  </si>
  <si>
    <t>As C1.1 and C1.2, for the client.</t>
  </si>
  <si>
    <t>D. HP and Life texts. Two Editors.</t>
  </si>
  <si>
    <t>D1.1</t>
  </si>
  <si>
    <t>D1</t>
  </si>
  <si>
    <t>HP and Life update at once</t>
  </si>
  <si>
    <t>N35</t>
  </si>
  <si>
    <t>N33_N34_N35</t>
  </si>
  <si>
    <t>Damage a pony: cast Ice Shard at the opponent, or press Space in your own Player action (−10 HP to yourself).</t>
  </si>
  <si>
    <t>The damaged player's HUD 'HP : …' changes at once to the new value. 'Life : …' stays.</t>
  </si>
  <si>
    <t>D1.2</t>
  </si>
  <si>
    <t>Kill a pony (Read me → Useful facts), then confirm a respawn block in 'Waiting for respawn'.</t>
  </si>
  <si>
    <t>'Life' drops by 1 at once. During the respawn wait HP and Life keep their last values (known). After the respawn: 'HP : 100'.</t>
  </si>
  <si>
    <t>D1.3</t>
  </si>
  <si>
    <t>While alive, switch the language en → ru → ja → en (Read me → Switch language). Watch both windows.</t>
  </si>
  <si>
    <t>HP and Life change language at once (ru 'ХП : …' / 'Жизни : …', ja 'HP : …' / 'ライフ : …'); the numbers stay the same.</t>
  </si>
  <si>
    <t>D1.4</t>
  </si>
  <si>
    <t>Switch the language once during 'Waiting for respawn'.</t>
  </si>
  <si>
    <t>HP and Life may keep the old language until the respawn, then switch (known, unchanged by N35).</t>
  </si>
  <si>
    <t>D1.5</t>
  </si>
  <si>
    <t>Kill the same pony until its lives run out.</t>
  </si>
  <si>
    <t>Just before the Result screen, that player's HUD may briefly show 'Player Dead' with an empty Life text. Both windows then show the Result screen.</t>
  </si>
  <si>
    <t>E. Lobby, a full match, a second match. Two Editors.</t>
  </si>
  <si>
    <t>E1.1</t>
  </si>
  <si>
    <t>E1</t>
  </si>
  <si>
    <t>Lobby and match flow after the dead-code removal</t>
  </si>
  <si>
    <t>N33, N34, N55</t>
  </si>
  <si>
    <t>Before the host creates a lobby, press Find Lobby / Refresh Lobby in the clone 2–3 times. Then the host creates one; refresh again and join.</t>
  </si>
  <si>
    <t>First 'Lobby not found', then the host's lobby is listed and can be joined. No errors.</t>
  </si>
  <si>
    <t>E1.2</t>
  </si>
  <si>
    <t>Play a match to the end (one player runs out of lives).</t>
  </si>
  <si>
    <t>Both windows show the Result screen: 'Victory!' / 'Defeat' with 'Your opponent lost all their lives.' / 'You lost all your lives.' Main menu works.</t>
  </si>
  <si>
    <t>E1.3</t>
  </si>
  <si>
    <t>From the main menu, create, join and start a second match without restarting the Editors.</t>
  </si>
  <si>
    <t>The second match starts normally: ponies, blocks, hands and phases.</t>
  </si>
  <si>
    <t>F. QA research: leaving and quitting mid-match (N59). Expected = today's behavior. Two Editors.</t>
  </si>
  <si>
    <t>F1.1</t>
  </si>
  <si>
    <t>F1</t>
  </si>
  <si>
    <t>Leave and quit, both directions</t>
  </si>
  <si>
    <t>N59, H6, N19</t>
  </si>
  <si>
    <t>Research</t>
  </si>
  <si>
    <t>Mid-match, the CLIENT presses Leave match → Leave.</t>
  </si>
  <si>
    <t>Client: 'Defeat' / 'You left the match.' Host: 'Victory!' / 'Your opponent left the match.'</t>
  </si>
  <si>
    <t>F1.2</t>
  </si>
  <si>
    <t>Start a new match. Mid-match, stop Play Mode in the CLIENT (clone) Editor.</t>
  </si>
  <si>
    <t>Host: 'Victory!' / 'Your opponent left the match.' (your note from 2026-10-22).</t>
  </si>
  <si>
    <t>F1.3</t>
  </si>
  <si>
    <t>Start a new match. Mid-match, stop Play Mode in the HOST (main) Editor. Watch the clone.</t>
  </si>
  <si>
    <t>N59, known: the client goes back to the Lobby screen with no Result screen and no message. Paste any clone Console lines into the notes.</t>
  </si>
  <si>
    <t>F1.4</t>
  </si>
  <si>
    <t>Start a new match. Mid-match, the HOST presses Leave match → Leave.</t>
  </si>
  <si>
    <t>Host: 'Defeat' / 'You left the match.' Client: 'Victory!' / 'Your opponent left the match.'</t>
  </si>
  <si>
    <t>F1.5</t>
  </si>
  <si>
    <t>Right after F1.3, on the client press Refresh Lobby twice, about 30 s apart.</t>
  </si>
  <si>
    <t>The dead host's lobby isn't listed. If it is, press Join once and note what happens.</t>
  </si>
  <si>
    <t>G. A new release build against an Editor.</t>
  </si>
  <si>
    <t>G1.1</t>
  </si>
  <si>
    <t>G1</t>
  </si>
  <si>
    <t>Release build: match, early Confirm, quiet Player.log</t>
  </si>
  <si>
    <t>N34, N33, N57</t>
  </si>
  <si>
    <t>Build + Editor</t>
  </si>
  <si>
    <t>Any</t>
  </si>
  <si>
    <t>In the main Editor: File → Build Profiles → Windows, Development Build OFF → Build to C:\Lesson\Spellcasters.Build (replace the old build).</t>
  </si>
  <si>
    <t>The build succeeds.</t>
  </si>
  <si>
    <t>G1.2</t>
  </si>
  <si>
    <t>Start the build, log in and create a lobby (the build is the host). In an Editor, Refresh Lobby 2–3 times, join, start. Play a match with casts and one death, to the Result screen.</t>
  </si>
  <si>
    <t>Everything works as in the Editors.</t>
  </si>
  <si>
    <t>G1.3</t>
  </si>
  <si>
    <t>Start another match (build = host). As soon as the build shows the match screen, press Confirm Turn 3–5 times; then play two rounds.</t>
  </si>
  <si>
    <t>As C1.1 / C1.2: the build's hand row works all match.</t>
  </si>
  <si>
    <t>G1.4</t>
  </si>
  <si>
    <t>Open Player.log (Read me → Player build) and search (Ctrl+F) for each of: Card clicked · Card deselected · Card alter clicked · Process called · DespawnBlock · RepairCalled · SetLobbyCode · Lobby code · FindAvailableLobbies · Found lobby · Skip lobby · Lobby added · Applied body material · Applied mane material · DrawPhase started · Draw phase ended · new GameLoop started · NetworkManager recreated · CardWorldViewManager · Rpc called</t>
  </si>
  <si>
    <t>None of them appears. Warnings and errors still do, e.g. 'Invalid mane material index.' (N27): that's expected.</t>
  </si>
  <si>
    <t>G1.5</t>
  </si>
  <si>
    <t>Search Player.log for 'Exception'.</t>
  </si>
  <si>
    <t>No exception from game code.</t>
  </si>
  <si>
    <t>G1.6</t>
  </si>
  <si>
    <t>One more match (build = host, Editor = client). Mid-match, close the build window with X.</t>
  </si>
  <si>
    <t>N59, known: the Editor client goes back to the Lobby screen with no Result screen.</t>
  </si>
  <si>
    <t>H. Both Editor logs, after A–F.</t>
  </si>
  <si>
    <t>H1.1</t>
  </si>
  <si>
    <t>H1</t>
  </si>
  <si>
    <t>Editor logs are clean</t>
  </si>
  <si>
    <t>All</t>
  </si>
  <si>
    <t>—</t>
  </si>
  <si>
    <t>Search the main Editor's log (Console or %LOCALAPPDATA%\Unity\Editor\Editor.log) and C:\Lesson\clone-editor.log for 'Exception'.</t>
  </si>
  <si>
    <t>No exception from game code. (An NGO NetworkSceneManager.Dispose NRE on stop is U9: note it, don't fail the row.)</t>
  </si>
  <si>
    <t>H1.2</t>
  </si>
  <si>
    <t>Search both logs for: ConfirmSelect ignored · TryConfirmSend ignored · ConfirmTurn failed · Card package rejected · SpawnPlayers failed · match start aborted · No Spawn Point</t>
  </si>
  <si>
    <t>None, except right after your own early presses in B2.2 / C1 (at most one per press).</t>
  </si>
  <si>
    <t>H1.3</t>
  </si>
  <si>
    <t>Look for any NGO warning that names SpawnPoint or a nested NetworkObject (U2), and the Dispose NRE when you stop Play Mode (U9).</t>
  </si>
  <si>
    <t>Write what you saw, or 'none'.</t>
  </si>
  <si>
    <t>I. Optional, only after you commit: a missing spawn point.</t>
  </si>
  <si>
    <t>I1.1</t>
  </si>
  <si>
    <t>I1</t>
  </si>
  <si>
    <t>A missing spawn point aborts the start cleanly</t>
  </si>
  <si>
    <t>N55</t>
  </si>
  <si>
    <t>Only after committing this round. Open GameScene, select 'SpawnPoint (1)' (team 1), untick 'Is Enabled' in its SpawnPoint component, save. Start a match from LoginScene as usual.</t>
  </si>
  <si>
    <t>Both windows go back to the Lobby screen; no ponies or blocks spawn. Host Console: 'SpawnPlayers failed: no spawn point for team: 1' and 'MultiplayerManager: match start aborted. Reason: spawn_failed'.</t>
  </si>
  <si>
    <t>I1.2</t>
  </si>
  <si>
    <t>Undo: stop Play Mode, close both Editors, run git restore Assets/Scenes/GameScene.unity.</t>
  </si>
  <si>
    <t>git status shows no change to GameScene.unity.</t>
  </si>
  <si>
    <t>Results summary</t>
  </si>
  <si>
    <t>Calculated from the Checklist sheet; don't edit. Result: Fail if any row failed; Blocked if any row is blocked; Pass when every required row is Pass or N/A.</t>
  </si>
  <si>
    <t>Items</t>
  </si>
  <si>
    <t>Required</t>
  </si>
  <si>
    <t>Not run / empty</t>
  </si>
  <si>
    <t>Open (required)</t>
  </si>
  <si>
    <t>Done %</t>
  </si>
  <si>
    <t>Result</t>
  </si>
  <si>
    <t>Overall</t>
  </si>
  <si>
    <t>What you may see during the checks</t>
  </si>
  <si>
    <t>Known and expected: don't mark a row Fail for these</t>
  </si>
  <si>
    <t>You see</t>
  </si>
  <si>
    <t>Notes</t>
  </si>
  <si>
    <t>Host quits or stops Play Mode mid-match: the client lands in the Lobby with no Result screen.</t>
  </si>
  <si>
    <t>N59</t>
  </si>
  <si>
    <t>Known; section F measures it. The fix waits for your poll answer (P1).</t>
  </si>
  <si>
    <t>During 'Waiting for respawn' the HP and Life texts keep their last values (and language) until the respawn.</t>
  </si>
  <si>
    <t>Unchanged behavior: there's no character to read.</t>
  </si>
  <si>
    <t>Many debug lines in the Editor Console (phases, 'Card clicked', 'DespawnBlock' …).</t>
  </si>
  <si>
    <t>N34</t>
  </si>
  <si>
    <t>Expected in the Editor: the prefabs keep debug on. Only release builds must be quiet (G1.4).</t>
  </si>
  <si>
    <t>The warning 'Invalid mane material index.' on every pony spawn (also in the release Player.log).</t>
  </si>
  <si>
    <t>N27</t>
  </si>
  <si>
    <t>Parked by you until the mane model exists.</t>
  </si>
  <si>
    <t>'No card selected for control package.' when Confirm is pressed with no card picked.</t>
  </si>
  <si>
    <t>Expected warning.</t>
  </si>
  <si>
    <t>'Send ignored: no card target was confirmed.'</t>
  </si>
  <si>
    <t>N20</t>
  </si>
  <si>
    <t>Expected: Send needs a confirmed target. No message on screen (feature gap).</t>
  </si>
  <si>
    <t>'Only active player can confirm action phase.' when Confirm Turn is pressed during the opponent's Player action.</t>
  </si>
  <si>
    <t>Expected. No message on screen (feature gap).</t>
  </si>
  <si>
    <t>'Remote client disconnected. Host continue' when the opponent leaves.</t>
  </si>
  <si>
    <t>H6</t>
  </si>
  <si>
    <t>Expected: the forfeit path.</t>
  </si>
  <si>
    <t>'Bootstrap: No saved language code found.' on the very first start.</t>
  </si>
  <si>
    <t>M12</t>
  </si>
  <si>
    <t>Expected until a language is picked once.</t>
  </si>
  <si>
    <t>The countdown shows 00 for a moment before the phase changes.</t>
  </si>
  <si>
    <t>N36</t>
  </si>
  <si>
    <t>Cosmetic; mark Fail only if it stays for more than about 1 s.</t>
  </si>
  <si>
    <t>'Round preparation' still shows while cards are dealt.</t>
  </si>
  <si>
    <t>Feature gap: no draw phase is set.</t>
  </si>
  <si>
    <t>With 10 cards the hand cards overlap a little; the right card takes the click.</t>
  </si>
  <si>
    <t>UI3</t>
  </si>
  <si>
    <t>By design.</t>
  </si>
  <si>
    <t>The menus (Login, Main menu, Settings, Lobby, Result) don't have the compact layout.</t>
  </si>
  <si>
    <t>UI7</t>
  </si>
  <si>
    <t>Planned (poll P12).</t>
  </si>
  <si>
    <t>The lobby player item shows the short ID as the name and the full ID under it.</t>
  </si>
  <si>
    <t>N29</t>
  </si>
  <si>
    <t>Parked by you.</t>
  </si>
  <si>
    <t>Lobby or network failures appear only in the Console, with no message on screen.</t>
  </si>
  <si>
    <t>Feature gap.</t>
  </si>
  <si>
    <t>NGO NetworkSceneManager.Dispose → NullReferenceException when you stop Play Mode or quit the Editor.</t>
  </si>
  <si>
    <t>U9</t>
  </si>
  <si>
    <t>Inside NGO, during teardown. Note it in H1.3.</t>
  </si>
  <si>
    <t>MPLUSRounded1c-Medium SDF.asset shows as modified in git status after ru/ja text rendered.</t>
  </si>
  <si>
    <t>N28</t>
  </si>
  <si>
    <t>Expected in the Editor. Restore it before committing (Read me → Before you commit).</t>
  </si>
  <si>
    <t>Fixed in this round: mark the row Fail if you see these</t>
  </si>
  <si>
    <t>Checked in</t>
  </si>
  <si>
    <t>A click on a right-hand (client's) table card opens no big card, in either window.</t>
  </si>
  <si>
    <t>A1.2, A2.1</t>
  </si>
  <si>
    <t>After an early Confirm Turn, the bottom row stays empty for the whole match.</t>
  </si>
  <si>
    <t>C1, G1.3</t>
  </si>
  <si>
    <t>NullReferenceException from ConfirmTargetButtonUI or ConfirmSendButton.</t>
  </si>
  <si>
    <t>B2, H1.1</t>
  </si>
  <si>
    <t>'Card package rejected. Invalid target count' during normal casting.</t>
  </si>
  <si>
    <t>N58</t>
  </si>
  <si>
    <t>B1, H1.2</t>
  </si>
  <si>
    <t>Any of the G1.4 debug lines in the release Player.log.</t>
  </si>
  <si>
    <t>HP or Life text not updating at once, or stuck in the old language while alive.</t>
  </si>
  <si>
    <t>D1.1–D1.3</t>
  </si>
  <si>
    <t>A match that hangs at start with 'No Spawn Point' and nothing spawned.</t>
  </si>
  <si>
    <t>E1, I1</t>
  </si>
  <si>
    <t>Found during the checks (add your own rows here)</t>
  </si>
  <si>
    <t>What you saw</t>
  </si>
  <si>
    <t>Row / when</t>
  </si>
  <si>
    <t>Console text, screenshot</t>
  </si>
  <si>
    <t xml:space="preserve"> </t>
    <phoneticPr fontId="9"/>
  </si>
  <si>
    <t>Close the clone Editor if it's open. Then start it from PowerShell, so that it writes its own log:
&amp; 'C:\Program Files\Unity\Hub\Editor\6000.3.13f1\Editor\Unity.exe' -projectPath 'C:\Lesson\FallenStar-Spellcasters_clone_1' -logFile 'C:\Lesson\clone-editor.log'
Open the main project as usual. The clone shares Assets, so it runs the same code.</t>
    <phoneticPr fontId="9"/>
  </si>
  <si>
    <t>Owner</t>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</si>
</sst>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2" x14ac:knownFonts="1">
    <font>
      <sz val="11"/>
      <color theme="1"/>
      <name val="ＭＳ Ｐゴシック"/>
      <family val="2"/>
      <scheme val="minor"/>
    </font>
    <font>
      <b/>
      <sz val="12"/>
      <color rgb="FF000000"/>
      <name val="Arial"/>
    </font>
    <font>
      <b/>
      <sz val="10"/>
      <color rgb="FF000000"/>
      <name val="Arial"/>
    </font>
    <font>
      <sz val="10"/>
      <color rgb="FF000000"/>
      <name val="Arial"/>
    </font>
    <font>
      <b/>
      <sz val="14"/>
      <color rgb="FF000000"/>
      <name val="Arial"/>
    </font>
    <font>
      <i/>
      <sz val="10"/>
      <color rgb="FF000000"/>
      <name val="Arial"/>
    </font>
    <font>
      <b/>
      <sz val="10"/>
      <color rgb="FFFFFFFF"/>
      <name val="Arial"/>
    </font>
    <font>
      <b/>
      <sz val="11"/>
      <color rgb="FF000000"/>
      <name val="Arial"/>
    </font>
    <font>
      <sz val="10"/>
      <color rgb="FF808080"/>
      <name val="Arial"/>
    </font>
    <font>
      <sz val="6"/>
      <name val="ＭＳ Ｐゴシック"/>
      <family val="3"/>
      <charset val="128"/>
      <scheme val="minor"/>
    </font>
    <font>
      <b/>
      <sz val="16"/>
      <color rgb="FF000000"/>
      <name val="Arial"/>
      <family val="2"/>
    </font>
    <font>
      <sz val="10"/>
      <color rgb="FF000000"/>
      <name val="Arial"/>
      <family val="2"/>
    </font>
  </fonts>
  <fills count="5">
    <fill>
      <patternFill patternType="none"/>
    </fill>
    <fill>
      <patternFill patternType="gray125"/>
    </fill>
    <fill>
      <patternFill patternType="solid">
        <fgColor rgb="FF1F3864"/>
      </patternFill>
    </fill>
    <fill>
      <patternFill patternType="solid">
        <fgColor rgb="FFD9E2F3"/>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6">
    <xf numFmtId="0" fontId="0" fillId="0" borderId="0" xfId="0"/>
    <xf numFmtId="0" fontId="1" fillId="0" borderId="0" xfId="0" applyFont="1"/>
    <xf numFmtId="0" fontId="2" fillId="0" borderId="0" xfId="0" applyFont="1" applyAlignment="1">
      <alignment vertical="top" wrapText="1"/>
    </xf>
    <xf numFmtId="0" fontId="3" fillId="0" borderId="0" xfId="0" applyFont="1" applyAlignment="1">
      <alignment vertical="top" wrapText="1"/>
    </xf>
    <xf numFmtId="0" fontId="4" fillId="0" borderId="0" xfId="0" applyFont="1"/>
    <xf numFmtId="0" fontId="5" fillId="0" borderId="0" xfId="0" applyFont="1"/>
    <xf numFmtId="0" fontId="6" fillId="2" borderId="1" xfId="0" applyFont="1" applyFill="1"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3" fillId="4" borderId="1" xfId="0" applyFont="1" applyFill="1" applyBorder="1" applyAlignment="1">
      <alignment vertical="top" wrapText="1"/>
    </xf>
    <xf numFmtId="176" fontId="3" fillId="4" borderId="1" xfId="0" applyNumberFormat="1" applyFont="1" applyFill="1" applyBorder="1" applyAlignment="1">
      <alignment vertical="top" wrapText="1"/>
    </xf>
    <xf numFmtId="0" fontId="8" fillId="0" borderId="1" xfId="0" applyFont="1" applyBorder="1" applyAlignment="1">
      <alignment vertical="top" wrapText="1"/>
    </xf>
    <xf numFmtId="0" fontId="2" fillId="0" borderId="1" xfId="0" applyFont="1" applyBorder="1" applyAlignment="1">
      <alignment vertical="top"/>
    </xf>
    <xf numFmtId="0" fontId="3" fillId="0" borderId="1" xfId="0" applyFont="1" applyBorder="1" applyAlignment="1">
      <alignment vertical="top"/>
    </xf>
    <xf numFmtId="9" fontId="3" fillId="0" borderId="1" xfId="0" applyNumberFormat="1" applyFont="1" applyBorder="1" applyAlignment="1">
      <alignment vertical="top"/>
    </xf>
    <xf numFmtId="0" fontId="2" fillId="0" borderId="0" xfId="0" applyFont="1"/>
    <xf numFmtId="0" fontId="2" fillId="0" borderId="1" xfId="0" applyFont="1" applyBorder="1"/>
    <xf numFmtId="9" fontId="2" fillId="0" borderId="1" xfId="0" applyNumberFormat="1" applyFont="1" applyBorder="1"/>
    <xf numFmtId="0" fontId="7" fillId="0" borderId="0" xfId="0" applyFont="1"/>
    <xf numFmtId="0" fontId="6" fillId="2" borderId="1" xfId="0" applyFont="1" applyFill="1" applyBorder="1"/>
    <xf numFmtId="0" fontId="0" fillId="4" borderId="1" xfId="0" applyFill="1" applyBorder="1" applyAlignment="1">
      <alignment vertical="top" wrapText="1"/>
    </xf>
    <xf numFmtId="0" fontId="7" fillId="3" borderId="0" xfId="0" applyFont="1" applyFill="1" applyAlignment="1">
      <alignment vertical="center"/>
    </xf>
    <xf numFmtId="0" fontId="0" fillId="0" borderId="0" xfId="0"/>
    <xf numFmtId="0" fontId="10" fillId="0" borderId="0" xfId="0" applyFont="1"/>
    <xf numFmtId="0" fontId="11" fillId="0" borderId="0" xfId="0" applyFont="1" applyAlignment="1">
      <alignment vertical="top" wrapText="1"/>
    </xf>
    <xf numFmtId="0" fontId="11" fillId="4" borderId="1" xfId="0" applyFont="1" applyFill="1" applyBorder="1" applyAlignment="1">
      <alignment vertical="top" wrapText="1"/>
    </xf>
  </cellXfs>
  <cellStyles count="1">
    <cellStyle name="標準" xfId="0" builtinId="0"/>
  </cellStyles>
  <dxfs count="10">
    <dxf>
      <fill>
        <patternFill patternType="solid">
          <fgColor rgb="FFDDEBF7"/>
        </patternFill>
      </fill>
    </dxf>
    <dxf>
      <font>
        <color rgb="FF9C5700"/>
        <name val="Arial"/>
      </font>
      <fill>
        <patternFill patternType="solid">
          <fgColor rgb="FFFFEB9C"/>
        </patternFill>
      </fill>
    </dxf>
    <dxf>
      <font>
        <color rgb="FF9C0006"/>
        <name val="Arial"/>
      </font>
      <fill>
        <patternFill patternType="solid">
          <fgColor rgb="FFFFC7CE"/>
        </patternFill>
      </fill>
    </dxf>
    <dxf>
      <font>
        <color rgb="FF006100"/>
        <name val="Arial"/>
      </font>
      <fill>
        <patternFill patternType="solid">
          <fgColor rgb="FFC6EFCE"/>
        </patternFill>
      </fill>
    </dxf>
    <dxf>
      <fill>
        <patternFill patternType="solid">
          <fgColor rgb="FFEDEDED"/>
        </patternFill>
      </fill>
    </dxf>
    <dxf>
      <fill>
        <patternFill patternType="solid">
          <fgColor rgb="FFDDEBF7"/>
        </patternFill>
      </fill>
    </dxf>
    <dxf>
      <font>
        <color rgb="FF9C5700"/>
        <name val="Arial"/>
      </font>
      <fill>
        <patternFill patternType="solid">
          <fgColor rgb="FFFFEB9C"/>
        </patternFill>
      </fill>
    </dxf>
    <dxf>
      <font>
        <color rgb="FF9C0006"/>
        <name val="Arial"/>
      </font>
      <fill>
        <patternFill patternType="solid">
          <fgColor rgb="FFFFC7CE"/>
        </patternFill>
      </fill>
    </dxf>
    <dxf>
      <font>
        <color rgb="FF9C0006"/>
        <name val="Arial"/>
      </font>
      <fill>
        <patternFill patternType="solid">
          <fgColor rgb="FFFFC7CE"/>
        </patternFill>
      </fill>
    </dxf>
    <dxf>
      <font>
        <color rgb="FF006100"/>
        <name val="Arial"/>
      </font>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0"/>
  <sheetViews>
    <sheetView topLeftCell="A22" workbookViewId="0">
      <selection activeCell="B28" sqref="B28"/>
    </sheetView>
  </sheetViews>
  <sheetFormatPr defaultRowHeight="13.5" x14ac:dyDescent="0.15"/>
  <cols>
    <col min="1" max="1" width="28" customWidth="1"/>
    <col min="2" max="2" width="110" customWidth="1"/>
  </cols>
  <sheetData>
    <row r="1" spans="1:2" ht="20.25" x14ac:dyDescent="0.3">
      <c r="A1" s="23" t="s">
        <v>365</v>
      </c>
    </row>
    <row r="3" spans="1:2" ht="15.75" x14ac:dyDescent="0.25">
      <c r="A3" s="1" t="s">
        <v>0</v>
      </c>
    </row>
    <row r="4" spans="1:2" ht="25.5" x14ac:dyDescent="0.15">
      <c r="A4" s="2" t="s">
        <v>1</v>
      </c>
      <c r="B4" s="3" t="s">
        <v>2</v>
      </c>
    </row>
    <row r="5" spans="1:2" ht="25.5" x14ac:dyDescent="0.15">
      <c r="A5" s="2" t="s">
        <v>3</v>
      </c>
      <c r="B5" s="3" t="s">
        <v>4</v>
      </c>
    </row>
    <row r="6" spans="1:2" ht="89.25" x14ac:dyDescent="0.15">
      <c r="A6" s="2" t="s">
        <v>5</v>
      </c>
      <c r="B6" s="3" t="s">
        <v>6</v>
      </c>
    </row>
    <row r="7" spans="1:2" ht="25.5" x14ac:dyDescent="0.15">
      <c r="A7" s="2" t="s">
        <v>7</v>
      </c>
      <c r="B7" s="3" t="s">
        <v>8</v>
      </c>
    </row>
    <row r="8" spans="1:2" x14ac:dyDescent="0.15">
      <c r="A8" s="2" t="s">
        <v>9</v>
      </c>
      <c r="B8" s="3" t="s">
        <v>10</v>
      </c>
    </row>
    <row r="9" spans="1:2" x14ac:dyDescent="0.15">
      <c r="A9" s="2" t="s">
        <v>11</v>
      </c>
      <c r="B9" s="3" t="s">
        <v>12</v>
      </c>
    </row>
    <row r="10" spans="1:2" ht="89.25" x14ac:dyDescent="0.15">
      <c r="A10" s="2" t="s">
        <v>13</v>
      </c>
      <c r="B10" s="3" t="s">
        <v>14</v>
      </c>
    </row>
    <row r="12" spans="1:2" ht="15.75" x14ac:dyDescent="0.25">
      <c r="A12" s="1" t="s">
        <v>15</v>
      </c>
    </row>
    <row r="13" spans="1:2" x14ac:dyDescent="0.15">
      <c r="A13" s="2" t="s">
        <v>16</v>
      </c>
      <c r="B13" s="3" t="s">
        <v>17</v>
      </c>
    </row>
    <row r="14" spans="1:2" x14ac:dyDescent="0.15">
      <c r="A14" s="2" t="s">
        <v>18</v>
      </c>
      <c r="B14" s="3" t="s">
        <v>19</v>
      </c>
    </row>
    <row r="15" spans="1:2" x14ac:dyDescent="0.15">
      <c r="A15" s="2" t="s">
        <v>20</v>
      </c>
      <c r="B15" s="3" t="s">
        <v>21</v>
      </c>
    </row>
    <row r="16" spans="1:2" x14ac:dyDescent="0.15">
      <c r="A16" s="2" t="s">
        <v>22</v>
      </c>
      <c r="B16" s="3" t="s">
        <v>23</v>
      </c>
    </row>
    <row r="17" spans="1:2" x14ac:dyDescent="0.15">
      <c r="A17" s="2" t="s">
        <v>24</v>
      </c>
      <c r="B17" s="3" t="s">
        <v>25</v>
      </c>
    </row>
    <row r="18" spans="1:2" x14ac:dyDescent="0.15">
      <c r="A18" s="2" t="s">
        <v>26</v>
      </c>
      <c r="B18" s="3" t="s">
        <v>27</v>
      </c>
    </row>
    <row r="19" spans="1:2" x14ac:dyDescent="0.15">
      <c r="A19" s="2" t="s">
        <v>28</v>
      </c>
      <c r="B19" s="3" t="s">
        <v>29</v>
      </c>
    </row>
    <row r="20" spans="1:2" x14ac:dyDescent="0.15">
      <c r="A20" s="2" t="s">
        <v>30</v>
      </c>
      <c r="B20" s="3" t="s">
        <v>31</v>
      </c>
    </row>
    <row r="22" spans="1:2" ht="15.75" x14ac:dyDescent="0.25">
      <c r="A22" s="1" t="s">
        <v>32</v>
      </c>
    </row>
    <row r="23" spans="1:2" x14ac:dyDescent="0.15">
      <c r="A23" s="2" t="s">
        <v>33</v>
      </c>
      <c r="B23" s="3" t="s">
        <v>34</v>
      </c>
    </row>
    <row r="24" spans="1:2" x14ac:dyDescent="0.15">
      <c r="A24" s="2" t="s">
        <v>35</v>
      </c>
      <c r="B24" s="3" t="s">
        <v>36</v>
      </c>
    </row>
    <row r="25" spans="1:2" x14ac:dyDescent="0.15">
      <c r="A25" s="2" t="s">
        <v>37</v>
      </c>
      <c r="B25" s="3" t="s">
        <v>38</v>
      </c>
    </row>
    <row r="27" spans="1:2" ht="15.75" x14ac:dyDescent="0.25">
      <c r="A27" s="1" t="s">
        <v>39</v>
      </c>
    </row>
    <row r="28" spans="1:2" ht="51" x14ac:dyDescent="0.15">
      <c r="A28" s="2" t="s">
        <v>40</v>
      </c>
      <c r="B28" s="24" t="s">
        <v>366</v>
      </c>
    </row>
    <row r="29" spans="1:2" x14ac:dyDescent="0.15">
      <c r="A29" s="2" t="s">
        <v>41</v>
      </c>
      <c r="B29" s="3" t="s">
        <v>42</v>
      </c>
    </row>
    <row r="30" spans="1:2" x14ac:dyDescent="0.15">
      <c r="A30" s="2" t="s">
        <v>43</v>
      </c>
      <c r="B30" s="3" t="s">
        <v>44</v>
      </c>
    </row>
    <row r="31" spans="1:2" ht="25.5" x14ac:dyDescent="0.15">
      <c r="A31" s="2" t="s">
        <v>45</v>
      </c>
      <c r="B31" s="3" t="s">
        <v>46</v>
      </c>
    </row>
    <row r="32" spans="1:2" x14ac:dyDescent="0.15">
      <c r="A32" s="2" t="s">
        <v>47</v>
      </c>
      <c r="B32" s="3" t="s">
        <v>48</v>
      </c>
    </row>
    <row r="33" spans="1:2" ht="25.5" x14ac:dyDescent="0.15">
      <c r="A33" s="2" t="s">
        <v>49</v>
      </c>
      <c r="B33" s="3" t="s">
        <v>50</v>
      </c>
    </row>
    <row r="35" spans="1:2" ht="15.75" x14ac:dyDescent="0.25">
      <c r="A35" s="1" t="s">
        <v>51</v>
      </c>
    </row>
    <row r="36" spans="1:2" ht="25.5" x14ac:dyDescent="0.15">
      <c r="A36" s="2" t="s">
        <v>52</v>
      </c>
      <c r="B36" s="3" t="s">
        <v>53</v>
      </c>
    </row>
    <row r="37" spans="1:2" ht="25.5" x14ac:dyDescent="0.15">
      <c r="A37" s="2" t="s">
        <v>54</v>
      </c>
      <c r="B37" s="3" t="s">
        <v>55</v>
      </c>
    </row>
    <row r="38" spans="1:2" ht="25.5" x14ac:dyDescent="0.15">
      <c r="A38" s="2" t="s">
        <v>56</v>
      </c>
      <c r="B38" s="3" t="s">
        <v>57</v>
      </c>
    </row>
    <row r="39" spans="1:2" x14ac:dyDescent="0.15">
      <c r="A39" s="2" t="s">
        <v>58</v>
      </c>
      <c r="B39" s="3" t="s">
        <v>59</v>
      </c>
    </row>
    <row r="40" spans="1:2" ht="25.5" x14ac:dyDescent="0.15">
      <c r="A40" s="2" t="s">
        <v>60</v>
      </c>
      <c r="B40" s="3" t="s">
        <v>61</v>
      </c>
    </row>
    <row r="41" spans="1:2" x14ac:dyDescent="0.15">
      <c r="A41" s="2" t="s">
        <v>62</v>
      </c>
      <c r="B41" s="3" t="s">
        <v>63</v>
      </c>
    </row>
    <row r="42" spans="1:2" ht="38.25" x14ac:dyDescent="0.15">
      <c r="A42" s="2" t="s">
        <v>64</v>
      </c>
      <c r="B42" s="3" t="s">
        <v>65</v>
      </c>
    </row>
    <row r="43" spans="1:2" ht="25.5" x14ac:dyDescent="0.15">
      <c r="A43" s="2" t="s">
        <v>66</v>
      </c>
      <c r="B43" s="3" t="s">
        <v>67</v>
      </c>
    </row>
    <row r="44" spans="1:2" x14ac:dyDescent="0.15">
      <c r="A44" s="2" t="s">
        <v>68</v>
      </c>
      <c r="B44" s="3" t="s">
        <v>69</v>
      </c>
    </row>
    <row r="45" spans="1:2" ht="25.5" x14ac:dyDescent="0.15">
      <c r="A45" s="2" t="s">
        <v>70</v>
      </c>
      <c r="B45" s="3" t="s">
        <v>71</v>
      </c>
    </row>
    <row r="46" spans="1:2" ht="25.5" x14ac:dyDescent="0.15">
      <c r="A46" s="2" t="s">
        <v>72</v>
      </c>
      <c r="B46" s="3" t="s">
        <v>73</v>
      </c>
    </row>
    <row r="47" spans="1:2" ht="25.5" x14ac:dyDescent="0.15">
      <c r="A47" s="2" t="s">
        <v>74</v>
      </c>
      <c r="B47" s="3" t="s">
        <v>75</v>
      </c>
    </row>
    <row r="48" spans="1:2" x14ac:dyDescent="0.15">
      <c r="A48" s="2" t="s">
        <v>76</v>
      </c>
      <c r="B48" s="3" t="s">
        <v>77</v>
      </c>
    </row>
    <row r="49" spans="1:2" ht="25.5" x14ac:dyDescent="0.15">
      <c r="A49" s="2" t="s">
        <v>78</v>
      </c>
      <c r="B49" s="3" t="s">
        <v>79</v>
      </c>
    </row>
    <row r="51" spans="1:2" ht="15.75" x14ac:dyDescent="0.25">
      <c r="A51" s="1" t="s">
        <v>80</v>
      </c>
    </row>
    <row r="52" spans="1:2" x14ac:dyDescent="0.15">
      <c r="A52" s="2" t="s">
        <v>81</v>
      </c>
      <c r="B52" s="3" t="s">
        <v>82</v>
      </c>
    </row>
    <row r="53" spans="1:2" ht="25.5" x14ac:dyDescent="0.15">
      <c r="A53" s="2" t="s">
        <v>83</v>
      </c>
      <c r="B53" s="3" t="s">
        <v>84</v>
      </c>
    </row>
    <row r="54" spans="1:2" x14ac:dyDescent="0.15">
      <c r="A54" s="2" t="s">
        <v>85</v>
      </c>
      <c r="B54" s="3" t="s">
        <v>86</v>
      </c>
    </row>
    <row r="55" spans="1:2" x14ac:dyDescent="0.15">
      <c r="A55" s="2" t="s">
        <v>87</v>
      </c>
      <c r="B55" s="3" t="s">
        <v>88</v>
      </c>
    </row>
    <row r="57" spans="1:2" ht="15.75" x14ac:dyDescent="0.25">
      <c r="A57" s="1" t="s">
        <v>89</v>
      </c>
    </row>
    <row r="58" spans="1:2" x14ac:dyDescent="0.15">
      <c r="A58" s="2" t="s">
        <v>90</v>
      </c>
      <c r="B58" s="3" t="s">
        <v>91</v>
      </c>
    </row>
    <row r="59" spans="1:2" ht="25.5" x14ac:dyDescent="0.15">
      <c r="A59" s="2" t="s">
        <v>92</v>
      </c>
      <c r="B59" s="3" t="s">
        <v>93</v>
      </c>
    </row>
    <row r="60" spans="1:2" x14ac:dyDescent="0.15">
      <c r="A60" s="2" t="s">
        <v>94</v>
      </c>
      <c r="B60" s="3" t="s">
        <v>95</v>
      </c>
    </row>
  </sheetData>
  <phoneticPr fontId="9"/>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2"/>
  <sheetViews>
    <sheetView tabSelected="1" workbookViewId="0">
      <pane xSplit="3" ySplit="3" topLeftCell="D31" activePane="bottomRight" state="frozen"/>
      <selection pane="topRight"/>
      <selection pane="bottomLeft"/>
      <selection pane="bottomRight" activeCell="K53" sqref="K53"/>
    </sheetView>
  </sheetViews>
  <sheetFormatPr defaultRowHeight="13.5" x14ac:dyDescent="0.15"/>
  <cols>
    <col min="1" max="1" width="7" customWidth="1"/>
    <col min="2" max="2" width="8" customWidth="1"/>
    <col min="3" max="3" width="30" customWidth="1"/>
    <col min="4" max="4" width="13" customWidth="1"/>
    <col min="5" max="6" width="12" customWidth="1"/>
    <col min="7" max="7" width="11" customWidth="1"/>
    <col min="8" max="8" width="60" customWidth="1"/>
    <col min="9" max="9" width="52" customWidth="1"/>
    <col min="10" max="10" width="12" customWidth="1"/>
    <col min="11" max="11" width="11" customWidth="1"/>
    <col min="12" max="13" width="12" customWidth="1"/>
    <col min="14" max="14" width="42" customWidth="1"/>
  </cols>
  <sheetData>
    <row r="1" spans="1:14" ht="18" x14ac:dyDescent="0.25">
      <c r="A1" s="4" t="s">
        <v>96</v>
      </c>
    </row>
    <row r="2" spans="1:14" ht="14.25" x14ac:dyDescent="0.2">
      <c r="A2" s="5" t="s">
        <v>97</v>
      </c>
    </row>
    <row r="3" spans="1:14" x14ac:dyDescent="0.15">
      <c r="A3" s="6" t="s">
        <v>98</v>
      </c>
      <c r="B3" s="6" t="s">
        <v>99</v>
      </c>
      <c r="C3" s="6" t="s">
        <v>100</v>
      </c>
      <c r="D3" s="6" t="s">
        <v>101</v>
      </c>
      <c r="E3" s="6" t="s">
        <v>102</v>
      </c>
      <c r="F3" s="6" t="s">
        <v>103</v>
      </c>
      <c r="G3" s="6" t="s">
        <v>104</v>
      </c>
      <c r="H3" s="6" t="s">
        <v>105</v>
      </c>
      <c r="I3" s="6" t="s">
        <v>106</v>
      </c>
      <c r="J3" s="6" t="s">
        <v>107</v>
      </c>
      <c r="K3" s="6" t="s">
        <v>108</v>
      </c>
      <c r="L3" s="6" t="s">
        <v>109</v>
      </c>
      <c r="M3" s="6" t="s">
        <v>110</v>
      </c>
      <c r="N3" s="6" t="s">
        <v>37</v>
      </c>
    </row>
    <row r="4" spans="1:14" ht="20.100000000000001" customHeight="1" x14ac:dyDescent="0.15">
      <c r="A4" s="21" t="s">
        <v>111</v>
      </c>
      <c r="B4" s="22"/>
      <c r="C4" s="22"/>
      <c r="D4" s="22"/>
      <c r="E4" s="22"/>
      <c r="F4" s="22"/>
      <c r="G4" s="22"/>
      <c r="H4" s="22"/>
      <c r="I4" s="22"/>
      <c r="J4" s="22"/>
      <c r="K4" s="22"/>
      <c r="L4" s="22"/>
      <c r="M4" s="22"/>
      <c r="N4" s="22"/>
    </row>
    <row r="5" spans="1:14" ht="51" x14ac:dyDescent="0.15">
      <c r="A5" s="7" t="s">
        <v>112</v>
      </c>
      <c r="B5" s="8" t="s">
        <v>113</v>
      </c>
      <c r="C5" s="8" t="s">
        <v>114</v>
      </c>
      <c r="D5" s="8" t="s">
        <v>115</v>
      </c>
      <c r="E5" s="8" t="s">
        <v>116</v>
      </c>
      <c r="F5" s="8" t="s">
        <v>117</v>
      </c>
      <c r="G5" s="8" t="s">
        <v>118</v>
      </c>
      <c r="H5" s="8" t="s">
        <v>119</v>
      </c>
      <c r="I5" s="8" t="s">
        <v>120</v>
      </c>
      <c r="J5" s="8"/>
      <c r="K5" s="9" t="s">
        <v>18</v>
      </c>
      <c r="L5" s="25" t="s">
        <v>367</v>
      </c>
      <c r="M5" s="10">
        <v>46318</v>
      </c>
      <c r="N5" s="9"/>
    </row>
    <row r="6" spans="1:14" ht="25.5" x14ac:dyDescent="0.15">
      <c r="A6" s="7" t="s">
        <v>121</v>
      </c>
      <c r="B6" s="8" t="s">
        <v>113</v>
      </c>
      <c r="C6" s="11" t="s">
        <v>114</v>
      </c>
      <c r="D6" s="11" t="s">
        <v>115</v>
      </c>
      <c r="E6" s="11" t="s">
        <v>116</v>
      </c>
      <c r="F6" s="11" t="s">
        <v>117</v>
      </c>
      <c r="G6" s="11" t="s">
        <v>118</v>
      </c>
      <c r="H6" s="8" t="s">
        <v>122</v>
      </c>
      <c r="I6" s="8" t="s">
        <v>123</v>
      </c>
      <c r="J6" s="8"/>
      <c r="K6" s="9" t="s">
        <v>18</v>
      </c>
      <c r="L6" s="25" t="s">
        <v>367</v>
      </c>
      <c r="M6" s="10">
        <v>46318</v>
      </c>
      <c r="N6" s="9"/>
    </row>
    <row r="7" spans="1:14" ht="25.5" x14ac:dyDescent="0.15">
      <c r="A7" s="7" t="s">
        <v>124</v>
      </c>
      <c r="B7" s="8" t="s">
        <v>125</v>
      </c>
      <c r="C7" s="8" t="s">
        <v>126</v>
      </c>
      <c r="D7" s="8" t="s">
        <v>115</v>
      </c>
      <c r="E7" s="8" t="s">
        <v>116</v>
      </c>
      <c r="F7" s="8" t="s">
        <v>127</v>
      </c>
      <c r="G7" s="8" t="s">
        <v>118</v>
      </c>
      <c r="H7" s="8" t="s">
        <v>128</v>
      </c>
      <c r="I7" s="8" t="s">
        <v>129</v>
      </c>
      <c r="J7" s="8"/>
      <c r="K7" s="9" t="s">
        <v>18</v>
      </c>
      <c r="L7" s="25" t="s">
        <v>367</v>
      </c>
      <c r="M7" s="10">
        <v>46318</v>
      </c>
      <c r="N7" s="9"/>
    </row>
    <row r="8" spans="1:14" ht="25.5" x14ac:dyDescent="0.15">
      <c r="A8" s="7" t="s">
        <v>130</v>
      </c>
      <c r="B8" s="8" t="s">
        <v>125</v>
      </c>
      <c r="C8" s="11" t="s">
        <v>126</v>
      </c>
      <c r="D8" s="11" t="s">
        <v>115</v>
      </c>
      <c r="E8" s="11" t="s">
        <v>116</v>
      </c>
      <c r="F8" s="11" t="s">
        <v>127</v>
      </c>
      <c r="G8" s="11" t="s">
        <v>118</v>
      </c>
      <c r="H8" s="8" t="s">
        <v>131</v>
      </c>
      <c r="I8" s="8" t="s">
        <v>132</v>
      </c>
      <c r="J8" s="8"/>
      <c r="K8" s="9" t="s">
        <v>18</v>
      </c>
      <c r="L8" s="25" t="s">
        <v>367</v>
      </c>
      <c r="M8" s="10">
        <v>46318</v>
      </c>
      <c r="N8" s="9"/>
    </row>
    <row r="9" spans="1:14" ht="25.5" x14ac:dyDescent="0.15">
      <c r="A9" s="7" t="s">
        <v>133</v>
      </c>
      <c r="B9" s="8" t="s">
        <v>134</v>
      </c>
      <c r="C9" s="8" t="s">
        <v>135</v>
      </c>
      <c r="D9" s="8" t="s">
        <v>115</v>
      </c>
      <c r="E9" s="8" t="s">
        <v>116</v>
      </c>
      <c r="F9" s="8" t="s">
        <v>136</v>
      </c>
      <c r="G9" s="8" t="s">
        <v>118</v>
      </c>
      <c r="H9" s="8" t="s">
        <v>137</v>
      </c>
      <c r="I9" s="8" t="s">
        <v>138</v>
      </c>
      <c r="J9" s="8"/>
      <c r="K9" s="9" t="s">
        <v>18</v>
      </c>
      <c r="L9" s="25" t="s">
        <v>367</v>
      </c>
      <c r="M9" s="10">
        <v>46318</v>
      </c>
      <c r="N9" s="9"/>
    </row>
    <row r="10" spans="1:14" x14ac:dyDescent="0.15">
      <c r="A10" s="7" t="s">
        <v>139</v>
      </c>
      <c r="B10" s="8" t="s">
        <v>134</v>
      </c>
      <c r="C10" s="11" t="s">
        <v>135</v>
      </c>
      <c r="D10" s="11" t="s">
        <v>115</v>
      </c>
      <c r="E10" s="11" t="s">
        <v>116</v>
      </c>
      <c r="F10" s="11" t="s">
        <v>136</v>
      </c>
      <c r="G10" s="11" t="s">
        <v>118</v>
      </c>
      <c r="H10" s="8" t="s">
        <v>140</v>
      </c>
      <c r="I10" s="8" t="s">
        <v>141</v>
      </c>
      <c r="J10" s="8"/>
      <c r="K10" s="9" t="s">
        <v>18</v>
      </c>
      <c r="L10" s="25" t="s">
        <v>367</v>
      </c>
      <c r="M10" s="10">
        <v>46318</v>
      </c>
      <c r="N10" s="9"/>
    </row>
    <row r="11" spans="1:14" ht="25.5" x14ac:dyDescent="0.15">
      <c r="A11" s="7" t="s">
        <v>142</v>
      </c>
      <c r="B11" s="8" t="s">
        <v>134</v>
      </c>
      <c r="C11" s="11" t="s">
        <v>135</v>
      </c>
      <c r="D11" s="11" t="s">
        <v>115</v>
      </c>
      <c r="E11" s="11" t="s">
        <v>116</v>
      </c>
      <c r="F11" s="11" t="s">
        <v>136</v>
      </c>
      <c r="G11" s="11" t="s">
        <v>118</v>
      </c>
      <c r="H11" s="8" t="s">
        <v>143</v>
      </c>
      <c r="I11" s="8" t="s">
        <v>144</v>
      </c>
      <c r="J11" s="8" t="s">
        <v>145</v>
      </c>
      <c r="K11" s="9" t="s">
        <v>18</v>
      </c>
      <c r="L11" s="25" t="s">
        <v>367</v>
      </c>
      <c r="M11" s="10">
        <v>46318</v>
      </c>
      <c r="N11" s="9"/>
    </row>
    <row r="12" spans="1:14" ht="20.100000000000001" customHeight="1" x14ac:dyDescent="0.15">
      <c r="A12" s="21" t="s">
        <v>146</v>
      </c>
      <c r="B12" s="22"/>
      <c r="C12" s="22"/>
      <c r="D12" s="22"/>
      <c r="E12" s="22"/>
      <c r="F12" s="22"/>
      <c r="G12" s="22"/>
      <c r="H12" s="22"/>
      <c r="I12" s="22"/>
      <c r="J12" s="22"/>
      <c r="K12" s="22"/>
      <c r="L12" s="22"/>
      <c r="M12" s="22"/>
      <c r="N12" s="22"/>
    </row>
    <row r="13" spans="1:14" ht="38.25" x14ac:dyDescent="0.15">
      <c r="A13" s="7" t="s">
        <v>147</v>
      </c>
      <c r="B13" s="8" t="s">
        <v>148</v>
      </c>
      <c r="C13" s="8" t="s">
        <v>149</v>
      </c>
      <c r="D13" s="8" t="s">
        <v>150</v>
      </c>
      <c r="E13" s="8" t="s">
        <v>151</v>
      </c>
      <c r="F13" s="8" t="s">
        <v>136</v>
      </c>
      <c r="G13" s="8" t="s">
        <v>118</v>
      </c>
      <c r="H13" s="8" t="s">
        <v>152</v>
      </c>
      <c r="I13" s="8" t="s">
        <v>153</v>
      </c>
      <c r="J13" s="8"/>
      <c r="K13" s="9" t="s">
        <v>18</v>
      </c>
      <c r="L13" s="25" t="s">
        <v>367</v>
      </c>
      <c r="M13" s="10">
        <v>46318</v>
      </c>
      <c r="N13" s="9"/>
    </row>
    <row r="14" spans="1:14" x14ac:dyDescent="0.15">
      <c r="A14" s="7" t="s">
        <v>154</v>
      </c>
      <c r="B14" s="8" t="s">
        <v>148</v>
      </c>
      <c r="C14" s="11" t="s">
        <v>149</v>
      </c>
      <c r="D14" s="11" t="s">
        <v>150</v>
      </c>
      <c r="E14" s="11" t="s">
        <v>151</v>
      </c>
      <c r="F14" s="11" t="s">
        <v>136</v>
      </c>
      <c r="G14" s="11" t="s">
        <v>118</v>
      </c>
      <c r="H14" s="8" t="s">
        <v>155</v>
      </c>
      <c r="I14" s="8" t="s">
        <v>156</v>
      </c>
      <c r="J14" s="8"/>
      <c r="K14" s="9" t="s">
        <v>18</v>
      </c>
      <c r="L14" s="25" t="s">
        <v>367</v>
      </c>
      <c r="M14" s="10">
        <v>46318</v>
      </c>
      <c r="N14" s="9"/>
    </row>
    <row r="15" spans="1:14" ht="25.5" x14ac:dyDescent="0.15">
      <c r="A15" s="7" t="s">
        <v>157</v>
      </c>
      <c r="B15" s="8" t="s">
        <v>148</v>
      </c>
      <c r="C15" s="11" t="s">
        <v>149</v>
      </c>
      <c r="D15" s="11" t="s">
        <v>150</v>
      </c>
      <c r="E15" s="11" t="s">
        <v>151</v>
      </c>
      <c r="F15" s="11" t="s">
        <v>136</v>
      </c>
      <c r="G15" s="11" t="s">
        <v>118</v>
      </c>
      <c r="H15" s="8" t="s">
        <v>158</v>
      </c>
      <c r="I15" s="8" t="s">
        <v>159</v>
      </c>
      <c r="J15" s="8"/>
      <c r="K15" s="9" t="s">
        <v>18</v>
      </c>
      <c r="L15" s="25" t="s">
        <v>367</v>
      </c>
      <c r="M15" s="10">
        <v>46318</v>
      </c>
      <c r="N15" s="9"/>
    </row>
    <row r="16" spans="1:14" ht="38.25" x14ac:dyDescent="0.15">
      <c r="A16" s="7" t="s">
        <v>160</v>
      </c>
      <c r="B16" s="8" t="s">
        <v>148</v>
      </c>
      <c r="C16" s="11" t="s">
        <v>149</v>
      </c>
      <c r="D16" s="11" t="s">
        <v>150</v>
      </c>
      <c r="E16" s="11" t="s">
        <v>151</v>
      </c>
      <c r="F16" s="11" t="s">
        <v>136</v>
      </c>
      <c r="G16" s="11" t="s">
        <v>118</v>
      </c>
      <c r="H16" s="8" t="s">
        <v>161</v>
      </c>
      <c r="I16" s="8" t="s">
        <v>162</v>
      </c>
      <c r="J16" s="8"/>
      <c r="K16" s="9" t="s">
        <v>18</v>
      </c>
      <c r="L16" s="25" t="s">
        <v>367</v>
      </c>
      <c r="M16" s="10">
        <v>46318</v>
      </c>
      <c r="N16" s="9"/>
    </row>
    <row r="17" spans="1:14" ht="25.5" x14ac:dyDescent="0.15">
      <c r="A17" s="7" t="s">
        <v>163</v>
      </c>
      <c r="B17" s="8" t="s">
        <v>164</v>
      </c>
      <c r="C17" s="8" t="s">
        <v>165</v>
      </c>
      <c r="D17" s="8" t="s">
        <v>166</v>
      </c>
      <c r="E17" s="8" t="s">
        <v>116</v>
      </c>
      <c r="F17" s="8" t="s">
        <v>136</v>
      </c>
      <c r="G17" s="8" t="s">
        <v>118</v>
      </c>
      <c r="H17" s="8" t="s">
        <v>167</v>
      </c>
      <c r="I17" s="8" t="s">
        <v>168</v>
      </c>
      <c r="J17" s="8"/>
      <c r="K17" s="9" t="s">
        <v>18</v>
      </c>
      <c r="L17" s="25" t="s">
        <v>367</v>
      </c>
      <c r="M17" s="10">
        <v>46318</v>
      </c>
      <c r="N17" s="9"/>
    </row>
    <row r="18" spans="1:14" ht="25.5" x14ac:dyDescent="0.15">
      <c r="A18" s="7" t="s">
        <v>169</v>
      </c>
      <c r="B18" s="8" t="s">
        <v>164</v>
      </c>
      <c r="C18" s="11" t="s">
        <v>165</v>
      </c>
      <c r="D18" s="11" t="s">
        <v>166</v>
      </c>
      <c r="E18" s="11" t="s">
        <v>116</v>
      </c>
      <c r="F18" s="11" t="s">
        <v>136</v>
      </c>
      <c r="G18" s="11" t="s">
        <v>118</v>
      </c>
      <c r="H18" s="8" t="s">
        <v>170</v>
      </c>
      <c r="I18" s="8" t="s">
        <v>171</v>
      </c>
      <c r="J18" s="8" t="s">
        <v>145</v>
      </c>
      <c r="K18" s="9" t="s">
        <v>18</v>
      </c>
      <c r="L18" s="25" t="s">
        <v>367</v>
      </c>
      <c r="M18" s="10">
        <v>46318</v>
      </c>
      <c r="N18" s="9"/>
    </row>
    <row r="19" spans="1:14" ht="20.100000000000001" customHeight="1" x14ac:dyDescent="0.15">
      <c r="A19" s="21" t="s">
        <v>172</v>
      </c>
      <c r="B19" s="22"/>
      <c r="C19" s="22"/>
      <c r="D19" s="22"/>
      <c r="E19" s="22"/>
      <c r="F19" s="22"/>
      <c r="G19" s="22"/>
      <c r="H19" s="22"/>
      <c r="I19" s="22"/>
      <c r="J19" s="22"/>
      <c r="K19" s="22"/>
      <c r="L19" s="22"/>
      <c r="M19" s="22"/>
      <c r="N19" s="22"/>
    </row>
    <row r="20" spans="1:14" ht="51" x14ac:dyDescent="0.15">
      <c r="A20" s="7" t="s">
        <v>173</v>
      </c>
      <c r="B20" s="8" t="s">
        <v>174</v>
      </c>
      <c r="C20" s="8" t="s">
        <v>175</v>
      </c>
      <c r="D20" s="8" t="s">
        <v>176</v>
      </c>
      <c r="E20" s="8" t="s">
        <v>116</v>
      </c>
      <c r="F20" s="8" t="s">
        <v>117</v>
      </c>
      <c r="G20" s="8" t="s">
        <v>118</v>
      </c>
      <c r="H20" s="8" t="s">
        <v>177</v>
      </c>
      <c r="I20" s="8" t="s">
        <v>178</v>
      </c>
      <c r="J20" s="8"/>
      <c r="K20" s="9" t="s">
        <v>18</v>
      </c>
      <c r="L20" s="25" t="s">
        <v>367</v>
      </c>
      <c r="M20" s="10">
        <v>46318</v>
      </c>
      <c r="N20" s="9"/>
    </row>
    <row r="21" spans="1:14" ht="25.5" x14ac:dyDescent="0.15">
      <c r="A21" s="7" t="s">
        <v>179</v>
      </c>
      <c r="B21" s="8" t="s">
        <v>174</v>
      </c>
      <c r="C21" s="11" t="s">
        <v>175</v>
      </c>
      <c r="D21" s="11" t="s">
        <v>176</v>
      </c>
      <c r="E21" s="11" t="s">
        <v>116</v>
      </c>
      <c r="F21" s="11" t="s">
        <v>117</v>
      </c>
      <c r="G21" s="11" t="s">
        <v>118</v>
      </c>
      <c r="H21" s="8" t="s">
        <v>180</v>
      </c>
      <c r="I21" s="8" t="s">
        <v>181</v>
      </c>
      <c r="J21" s="8"/>
      <c r="K21" s="9" t="s">
        <v>18</v>
      </c>
      <c r="L21" s="25" t="s">
        <v>367</v>
      </c>
      <c r="M21" s="10">
        <v>46318</v>
      </c>
      <c r="N21" s="9"/>
    </row>
    <row r="22" spans="1:14" ht="25.5" x14ac:dyDescent="0.15">
      <c r="A22" s="7" t="s">
        <v>182</v>
      </c>
      <c r="B22" s="8" t="s">
        <v>174</v>
      </c>
      <c r="C22" s="11" t="s">
        <v>175</v>
      </c>
      <c r="D22" s="11" t="s">
        <v>176</v>
      </c>
      <c r="E22" s="11" t="s">
        <v>116</v>
      </c>
      <c r="F22" s="11" t="s">
        <v>117</v>
      </c>
      <c r="G22" s="11" t="s">
        <v>118</v>
      </c>
      <c r="H22" s="8" t="s">
        <v>183</v>
      </c>
      <c r="I22" s="8" t="s">
        <v>184</v>
      </c>
      <c r="J22" s="8" t="s">
        <v>145</v>
      </c>
      <c r="K22" s="9" t="s">
        <v>18</v>
      </c>
      <c r="L22" s="25" t="s">
        <v>367</v>
      </c>
      <c r="M22" s="10">
        <v>46318</v>
      </c>
      <c r="N22" s="9"/>
    </row>
    <row r="23" spans="1:14" ht="20.100000000000001" customHeight="1" x14ac:dyDescent="0.15">
      <c r="A23" s="21" t="s">
        <v>185</v>
      </c>
      <c r="B23" s="22"/>
      <c r="C23" s="22"/>
      <c r="D23" s="22"/>
      <c r="E23" s="22"/>
      <c r="F23" s="22"/>
      <c r="G23" s="22"/>
      <c r="H23" s="22"/>
      <c r="I23" s="22"/>
      <c r="J23" s="22"/>
      <c r="K23" s="22"/>
      <c r="L23" s="22"/>
      <c r="M23" s="22"/>
      <c r="N23" s="22"/>
    </row>
    <row r="24" spans="1:14" ht="25.5" x14ac:dyDescent="0.15">
      <c r="A24" s="7" t="s">
        <v>186</v>
      </c>
      <c r="B24" s="8" t="s">
        <v>187</v>
      </c>
      <c r="C24" s="8" t="s">
        <v>188</v>
      </c>
      <c r="D24" s="8" t="s">
        <v>189</v>
      </c>
      <c r="E24" s="8" t="s">
        <v>190</v>
      </c>
      <c r="F24" s="8" t="s">
        <v>136</v>
      </c>
      <c r="G24" s="8" t="s">
        <v>118</v>
      </c>
      <c r="H24" s="8" t="s">
        <v>191</v>
      </c>
      <c r="I24" s="8" t="s">
        <v>192</v>
      </c>
      <c r="J24" s="8"/>
      <c r="K24" s="9" t="s">
        <v>18</v>
      </c>
      <c r="L24" s="25" t="s">
        <v>367</v>
      </c>
      <c r="M24" s="10">
        <v>46318</v>
      </c>
      <c r="N24" s="9"/>
    </row>
    <row r="25" spans="1:14" ht="25.5" x14ac:dyDescent="0.15">
      <c r="A25" s="7" t="s">
        <v>193</v>
      </c>
      <c r="B25" s="8" t="s">
        <v>187</v>
      </c>
      <c r="C25" s="11" t="s">
        <v>188</v>
      </c>
      <c r="D25" s="11" t="s">
        <v>189</v>
      </c>
      <c r="E25" s="11" t="s">
        <v>190</v>
      </c>
      <c r="F25" s="11" t="s">
        <v>136</v>
      </c>
      <c r="G25" s="11" t="s">
        <v>118</v>
      </c>
      <c r="H25" s="8" t="s">
        <v>194</v>
      </c>
      <c r="I25" s="8" t="s">
        <v>195</v>
      </c>
      <c r="J25" s="8"/>
      <c r="K25" s="9" t="s">
        <v>18</v>
      </c>
      <c r="L25" s="25" t="s">
        <v>367</v>
      </c>
      <c r="M25" s="10">
        <v>46318</v>
      </c>
      <c r="N25" s="9"/>
    </row>
    <row r="26" spans="1:14" ht="25.5" x14ac:dyDescent="0.15">
      <c r="A26" s="7" t="s">
        <v>196</v>
      </c>
      <c r="B26" s="8" t="s">
        <v>187</v>
      </c>
      <c r="C26" s="11" t="s">
        <v>188</v>
      </c>
      <c r="D26" s="11" t="s">
        <v>189</v>
      </c>
      <c r="E26" s="11" t="s">
        <v>190</v>
      </c>
      <c r="F26" s="11" t="s">
        <v>136</v>
      </c>
      <c r="G26" s="11" t="s">
        <v>118</v>
      </c>
      <c r="H26" s="8" t="s">
        <v>197</v>
      </c>
      <c r="I26" s="8" t="s">
        <v>198</v>
      </c>
      <c r="J26" s="8"/>
      <c r="K26" s="9" t="s">
        <v>18</v>
      </c>
      <c r="L26" s="25" t="s">
        <v>367</v>
      </c>
      <c r="M26" s="10">
        <v>46318</v>
      </c>
      <c r="N26" s="9"/>
    </row>
    <row r="27" spans="1:14" ht="25.5" x14ac:dyDescent="0.15">
      <c r="A27" s="7" t="s">
        <v>199</v>
      </c>
      <c r="B27" s="8" t="s">
        <v>187</v>
      </c>
      <c r="C27" s="11" t="s">
        <v>188</v>
      </c>
      <c r="D27" s="11" t="s">
        <v>189</v>
      </c>
      <c r="E27" s="11" t="s">
        <v>190</v>
      </c>
      <c r="F27" s="11" t="s">
        <v>136</v>
      </c>
      <c r="G27" s="11" t="s">
        <v>118</v>
      </c>
      <c r="H27" s="8" t="s">
        <v>200</v>
      </c>
      <c r="I27" s="8" t="s">
        <v>201</v>
      </c>
      <c r="J27" s="8" t="s">
        <v>145</v>
      </c>
      <c r="K27" s="9" t="s">
        <v>18</v>
      </c>
      <c r="L27" s="25" t="s">
        <v>367</v>
      </c>
      <c r="M27" s="10">
        <v>46318</v>
      </c>
      <c r="N27" s="9"/>
    </row>
    <row r="28" spans="1:14" ht="38.25" x14ac:dyDescent="0.15">
      <c r="A28" s="7" t="s">
        <v>202</v>
      </c>
      <c r="B28" s="8" t="s">
        <v>187</v>
      </c>
      <c r="C28" s="11" t="s">
        <v>188</v>
      </c>
      <c r="D28" s="11" t="s">
        <v>189</v>
      </c>
      <c r="E28" s="11" t="s">
        <v>190</v>
      </c>
      <c r="F28" s="11" t="s">
        <v>136</v>
      </c>
      <c r="G28" s="11" t="s">
        <v>118</v>
      </c>
      <c r="H28" s="8" t="s">
        <v>203</v>
      </c>
      <c r="I28" s="8" t="s">
        <v>204</v>
      </c>
      <c r="J28" s="8" t="s">
        <v>145</v>
      </c>
      <c r="K28" s="9" t="s">
        <v>18</v>
      </c>
      <c r="L28" s="25" t="s">
        <v>367</v>
      </c>
      <c r="M28" s="10">
        <v>46318</v>
      </c>
      <c r="N28" s="9"/>
    </row>
    <row r="29" spans="1:14" ht="20.100000000000001" customHeight="1" x14ac:dyDescent="0.15">
      <c r="A29" s="21" t="s">
        <v>205</v>
      </c>
      <c r="B29" s="22"/>
      <c r="C29" s="22"/>
      <c r="D29" s="22"/>
      <c r="E29" s="22"/>
      <c r="F29" s="22"/>
      <c r="G29" s="22"/>
      <c r="H29" s="22"/>
      <c r="I29" s="22"/>
      <c r="J29" s="22"/>
      <c r="K29" s="22"/>
      <c r="L29" s="22"/>
      <c r="M29" s="22"/>
      <c r="N29" s="22"/>
    </row>
    <row r="30" spans="1:14" ht="25.5" x14ac:dyDescent="0.15">
      <c r="A30" s="7" t="s">
        <v>206</v>
      </c>
      <c r="B30" s="8" t="s">
        <v>207</v>
      </c>
      <c r="C30" s="8" t="s">
        <v>208</v>
      </c>
      <c r="D30" s="8" t="s">
        <v>209</v>
      </c>
      <c r="E30" s="8" t="s">
        <v>190</v>
      </c>
      <c r="F30" s="8" t="s">
        <v>136</v>
      </c>
      <c r="G30" s="8" t="s">
        <v>118</v>
      </c>
      <c r="H30" s="8" t="s">
        <v>210</v>
      </c>
      <c r="I30" s="8" t="s">
        <v>211</v>
      </c>
      <c r="J30" s="8"/>
      <c r="K30" s="9" t="s">
        <v>18</v>
      </c>
      <c r="L30" s="25" t="s">
        <v>367</v>
      </c>
      <c r="M30" s="10">
        <v>46318</v>
      </c>
      <c r="N30" s="9"/>
    </row>
    <row r="31" spans="1:14" ht="38.25" x14ac:dyDescent="0.15">
      <c r="A31" s="7" t="s">
        <v>212</v>
      </c>
      <c r="B31" s="8" t="s">
        <v>207</v>
      </c>
      <c r="C31" s="11" t="s">
        <v>208</v>
      </c>
      <c r="D31" s="11" t="s">
        <v>209</v>
      </c>
      <c r="E31" s="11" t="s">
        <v>190</v>
      </c>
      <c r="F31" s="11" t="s">
        <v>136</v>
      </c>
      <c r="G31" s="11" t="s">
        <v>118</v>
      </c>
      <c r="H31" s="8" t="s">
        <v>213</v>
      </c>
      <c r="I31" s="8" t="s">
        <v>214</v>
      </c>
      <c r="J31" s="8"/>
      <c r="K31" s="9" t="s">
        <v>18</v>
      </c>
      <c r="L31" s="25" t="s">
        <v>367</v>
      </c>
      <c r="M31" s="10">
        <v>46318</v>
      </c>
      <c r="N31" s="9"/>
    </row>
    <row r="32" spans="1:14" ht="25.5" x14ac:dyDescent="0.15">
      <c r="A32" s="7" t="s">
        <v>215</v>
      </c>
      <c r="B32" s="8" t="s">
        <v>207</v>
      </c>
      <c r="C32" s="11" t="s">
        <v>208</v>
      </c>
      <c r="D32" s="11" t="s">
        <v>209</v>
      </c>
      <c r="E32" s="11" t="s">
        <v>190</v>
      </c>
      <c r="F32" s="11" t="s">
        <v>136</v>
      </c>
      <c r="G32" s="11" t="s">
        <v>118</v>
      </c>
      <c r="H32" s="8" t="s">
        <v>216</v>
      </c>
      <c r="I32" s="8" t="s">
        <v>217</v>
      </c>
      <c r="J32" s="8"/>
      <c r="K32" s="9" t="s">
        <v>18</v>
      </c>
      <c r="L32" s="25" t="s">
        <v>367</v>
      </c>
      <c r="M32" s="10">
        <v>46318</v>
      </c>
      <c r="N32" s="9"/>
    </row>
    <row r="33" spans="1:14" ht="20.100000000000001" customHeight="1" x14ac:dyDescent="0.15">
      <c r="A33" s="21" t="s">
        <v>218</v>
      </c>
      <c r="B33" s="22"/>
      <c r="C33" s="22"/>
      <c r="D33" s="22"/>
      <c r="E33" s="22"/>
      <c r="F33" s="22"/>
      <c r="G33" s="22"/>
      <c r="H33" s="22"/>
      <c r="I33" s="22"/>
      <c r="J33" s="22"/>
      <c r="K33" s="22"/>
      <c r="L33" s="22"/>
      <c r="M33" s="22"/>
      <c r="N33" s="22"/>
    </row>
    <row r="34" spans="1:14" ht="25.5" x14ac:dyDescent="0.15">
      <c r="A34" s="7" t="s">
        <v>219</v>
      </c>
      <c r="B34" s="8" t="s">
        <v>220</v>
      </c>
      <c r="C34" s="8" t="s">
        <v>221</v>
      </c>
      <c r="D34" s="8" t="s">
        <v>222</v>
      </c>
      <c r="E34" s="8" t="s">
        <v>223</v>
      </c>
      <c r="F34" s="8" t="s">
        <v>136</v>
      </c>
      <c r="G34" s="8" t="s">
        <v>118</v>
      </c>
      <c r="H34" s="8" t="s">
        <v>224</v>
      </c>
      <c r="I34" s="8" t="s">
        <v>225</v>
      </c>
      <c r="J34" s="8"/>
      <c r="K34" s="9" t="s">
        <v>18</v>
      </c>
      <c r="L34" s="25" t="s">
        <v>367</v>
      </c>
      <c r="M34" s="10">
        <v>46318</v>
      </c>
      <c r="N34" s="9"/>
    </row>
    <row r="35" spans="1:14" ht="25.5" x14ac:dyDescent="0.15">
      <c r="A35" s="7" t="s">
        <v>226</v>
      </c>
      <c r="B35" s="8" t="s">
        <v>220</v>
      </c>
      <c r="C35" s="11" t="s">
        <v>221</v>
      </c>
      <c r="D35" s="11" t="s">
        <v>222</v>
      </c>
      <c r="E35" s="11" t="s">
        <v>223</v>
      </c>
      <c r="F35" s="11" t="s">
        <v>136</v>
      </c>
      <c r="G35" s="11" t="s">
        <v>118</v>
      </c>
      <c r="H35" s="8" t="s">
        <v>227</v>
      </c>
      <c r="I35" s="8" t="s">
        <v>228</v>
      </c>
      <c r="J35" s="8"/>
      <c r="K35" s="9" t="s">
        <v>18</v>
      </c>
      <c r="L35" s="25" t="s">
        <v>367</v>
      </c>
      <c r="M35" s="10">
        <v>46318</v>
      </c>
      <c r="N35" s="9"/>
    </row>
    <row r="36" spans="1:14" ht="25.5" x14ac:dyDescent="0.15">
      <c r="A36" s="7" t="s">
        <v>229</v>
      </c>
      <c r="B36" s="8" t="s">
        <v>220</v>
      </c>
      <c r="C36" s="11" t="s">
        <v>221</v>
      </c>
      <c r="D36" s="11" t="s">
        <v>222</v>
      </c>
      <c r="E36" s="11" t="s">
        <v>223</v>
      </c>
      <c r="F36" s="11" t="s">
        <v>136</v>
      </c>
      <c r="G36" s="11" t="s">
        <v>118</v>
      </c>
      <c r="H36" s="8" t="s">
        <v>230</v>
      </c>
      <c r="I36" s="8" t="s">
        <v>231</v>
      </c>
      <c r="J36" s="8"/>
      <c r="K36" s="9" t="s">
        <v>18</v>
      </c>
      <c r="L36" s="25" t="s">
        <v>367</v>
      </c>
      <c r="M36" s="10">
        <v>46318</v>
      </c>
      <c r="N36" s="9"/>
    </row>
    <row r="37" spans="1:14" ht="25.5" x14ac:dyDescent="0.15">
      <c r="A37" s="7" t="s">
        <v>232</v>
      </c>
      <c r="B37" s="8" t="s">
        <v>220</v>
      </c>
      <c r="C37" s="11" t="s">
        <v>221</v>
      </c>
      <c r="D37" s="11" t="s">
        <v>222</v>
      </c>
      <c r="E37" s="11" t="s">
        <v>223</v>
      </c>
      <c r="F37" s="11" t="s">
        <v>136</v>
      </c>
      <c r="G37" s="11" t="s">
        <v>118</v>
      </c>
      <c r="H37" s="8" t="s">
        <v>233</v>
      </c>
      <c r="I37" s="8" t="s">
        <v>234</v>
      </c>
      <c r="J37" s="8" t="s">
        <v>145</v>
      </c>
      <c r="K37" s="9" t="s">
        <v>18</v>
      </c>
      <c r="L37" s="25" t="s">
        <v>367</v>
      </c>
      <c r="M37" s="10">
        <v>46318</v>
      </c>
      <c r="N37" s="9"/>
    </row>
    <row r="38" spans="1:14" ht="25.5" x14ac:dyDescent="0.15">
      <c r="A38" s="7" t="s">
        <v>235</v>
      </c>
      <c r="B38" s="8" t="s">
        <v>220</v>
      </c>
      <c r="C38" s="11" t="s">
        <v>221</v>
      </c>
      <c r="D38" s="11" t="s">
        <v>222</v>
      </c>
      <c r="E38" s="11" t="s">
        <v>223</v>
      </c>
      <c r="F38" s="11" t="s">
        <v>136</v>
      </c>
      <c r="G38" s="11" t="s">
        <v>118</v>
      </c>
      <c r="H38" s="8" t="s">
        <v>236</v>
      </c>
      <c r="I38" s="8" t="s">
        <v>237</v>
      </c>
      <c r="J38" s="8" t="s">
        <v>145</v>
      </c>
      <c r="K38" s="9" t="s">
        <v>18</v>
      </c>
      <c r="L38" s="25" t="s">
        <v>367</v>
      </c>
      <c r="M38" s="10">
        <v>46318</v>
      </c>
      <c r="N38" s="9"/>
    </row>
    <row r="39" spans="1:14" ht="20.100000000000001" customHeight="1" x14ac:dyDescent="0.15">
      <c r="A39" s="21" t="s">
        <v>238</v>
      </c>
      <c r="B39" s="22"/>
      <c r="C39" s="22"/>
      <c r="D39" s="22"/>
      <c r="E39" s="22"/>
      <c r="F39" s="22"/>
      <c r="G39" s="22"/>
      <c r="H39" s="22"/>
      <c r="I39" s="22"/>
      <c r="J39" s="22"/>
      <c r="K39" s="22"/>
      <c r="L39" s="22"/>
      <c r="M39" s="22"/>
      <c r="N39" s="22"/>
    </row>
    <row r="40" spans="1:14" ht="25.5" x14ac:dyDescent="0.15">
      <c r="A40" s="7" t="s">
        <v>239</v>
      </c>
      <c r="B40" s="8" t="s">
        <v>240</v>
      </c>
      <c r="C40" s="8" t="s">
        <v>241</v>
      </c>
      <c r="D40" s="8" t="s">
        <v>242</v>
      </c>
      <c r="E40" s="8" t="s">
        <v>190</v>
      </c>
      <c r="F40" s="8" t="s">
        <v>243</v>
      </c>
      <c r="G40" s="8" t="s">
        <v>244</v>
      </c>
      <c r="H40" s="8" t="s">
        <v>245</v>
      </c>
      <c r="I40" s="8" t="s">
        <v>246</v>
      </c>
      <c r="J40" s="8"/>
      <c r="K40" s="9" t="s">
        <v>18</v>
      </c>
      <c r="L40" s="25" t="s">
        <v>367</v>
      </c>
      <c r="M40" s="10">
        <v>46318</v>
      </c>
      <c r="N40" s="9"/>
    </row>
    <row r="41" spans="1:14" ht="38.25" x14ac:dyDescent="0.15">
      <c r="A41" s="7" t="s">
        <v>247</v>
      </c>
      <c r="B41" s="8" t="s">
        <v>240</v>
      </c>
      <c r="C41" s="11" t="s">
        <v>241</v>
      </c>
      <c r="D41" s="11" t="s">
        <v>242</v>
      </c>
      <c r="E41" s="11" t="s">
        <v>190</v>
      </c>
      <c r="F41" s="11" t="s">
        <v>243</v>
      </c>
      <c r="G41" s="11" t="s">
        <v>244</v>
      </c>
      <c r="H41" s="8" t="s">
        <v>248</v>
      </c>
      <c r="I41" s="8" t="s">
        <v>249</v>
      </c>
      <c r="J41" s="8"/>
      <c r="K41" s="9" t="s">
        <v>18</v>
      </c>
      <c r="L41" s="25" t="s">
        <v>367</v>
      </c>
      <c r="M41" s="10">
        <v>46318</v>
      </c>
      <c r="N41" s="9"/>
    </row>
    <row r="42" spans="1:14" ht="25.5" x14ac:dyDescent="0.15">
      <c r="A42" s="7" t="s">
        <v>250</v>
      </c>
      <c r="B42" s="8" t="s">
        <v>240</v>
      </c>
      <c r="C42" s="11" t="s">
        <v>241</v>
      </c>
      <c r="D42" s="11" t="s">
        <v>242</v>
      </c>
      <c r="E42" s="11" t="s">
        <v>190</v>
      </c>
      <c r="F42" s="11" t="s">
        <v>243</v>
      </c>
      <c r="G42" s="11" t="s">
        <v>244</v>
      </c>
      <c r="H42" s="8" t="s">
        <v>251</v>
      </c>
      <c r="I42" s="8" t="s">
        <v>252</v>
      </c>
      <c r="J42" s="8"/>
      <c r="K42" s="9" t="s">
        <v>18</v>
      </c>
      <c r="L42" s="25" t="s">
        <v>367</v>
      </c>
      <c r="M42" s="10">
        <v>46318</v>
      </c>
      <c r="N42" s="9"/>
    </row>
    <row r="43" spans="1:14" ht="76.5" x14ac:dyDescent="0.15">
      <c r="A43" s="7" t="s">
        <v>253</v>
      </c>
      <c r="B43" s="8" t="s">
        <v>240</v>
      </c>
      <c r="C43" s="11" t="s">
        <v>241</v>
      </c>
      <c r="D43" s="11" t="s">
        <v>242</v>
      </c>
      <c r="E43" s="11" t="s">
        <v>190</v>
      </c>
      <c r="F43" s="11" t="s">
        <v>243</v>
      </c>
      <c r="G43" s="11" t="s">
        <v>244</v>
      </c>
      <c r="H43" s="8" t="s">
        <v>254</v>
      </c>
      <c r="I43" s="8" t="s">
        <v>255</v>
      </c>
      <c r="J43" s="8"/>
      <c r="K43" s="9" t="s">
        <v>18</v>
      </c>
      <c r="L43" s="25" t="s">
        <v>367</v>
      </c>
      <c r="M43" s="10">
        <v>46318</v>
      </c>
      <c r="N43" s="9"/>
    </row>
    <row r="44" spans="1:14" ht="25.5" x14ac:dyDescent="0.15">
      <c r="A44" s="7" t="s">
        <v>256</v>
      </c>
      <c r="B44" s="8" t="s">
        <v>240</v>
      </c>
      <c r="C44" s="11" t="s">
        <v>241</v>
      </c>
      <c r="D44" s="11" t="s">
        <v>242</v>
      </c>
      <c r="E44" s="11" t="s">
        <v>190</v>
      </c>
      <c r="F44" s="11" t="s">
        <v>243</v>
      </c>
      <c r="G44" s="11" t="s">
        <v>244</v>
      </c>
      <c r="H44" s="8" t="s">
        <v>257</v>
      </c>
      <c r="I44" s="8" t="s">
        <v>258</v>
      </c>
      <c r="J44" s="8"/>
      <c r="K44" s="9" t="s">
        <v>18</v>
      </c>
      <c r="L44" s="25" t="s">
        <v>367</v>
      </c>
      <c r="M44" s="10">
        <v>46318</v>
      </c>
      <c r="N44" s="9"/>
    </row>
    <row r="45" spans="1:14" ht="25.5" x14ac:dyDescent="0.15">
      <c r="A45" s="7" t="s">
        <v>259</v>
      </c>
      <c r="B45" s="8" t="s">
        <v>240</v>
      </c>
      <c r="C45" s="11" t="s">
        <v>241</v>
      </c>
      <c r="D45" s="11" t="s">
        <v>242</v>
      </c>
      <c r="E45" s="11" t="s">
        <v>190</v>
      </c>
      <c r="F45" s="11" t="s">
        <v>243</v>
      </c>
      <c r="G45" s="11" t="s">
        <v>244</v>
      </c>
      <c r="H45" s="8" t="s">
        <v>260</v>
      </c>
      <c r="I45" s="8" t="s">
        <v>261</v>
      </c>
      <c r="J45" s="8" t="s">
        <v>145</v>
      </c>
      <c r="K45" s="9" t="s">
        <v>18</v>
      </c>
      <c r="L45" s="25" t="s">
        <v>367</v>
      </c>
      <c r="M45" s="10">
        <v>46318</v>
      </c>
      <c r="N45" s="9"/>
    </row>
    <row r="46" spans="1:14" ht="20.100000000000001" customHeight="1" x14ac:dyDescent="0.15">
      <c r="A46" s="21" t="s">
        <v>262</v>
      </c>
      <c r="B46" s="22"/>
      <c r="C46" s="22"/>
      <c r="D46" s="22"/>
      <c r="E46" s="22"/>
      <c r="F46" s="22"/>
      <c r="G46" s="22"/>
      <c r="H46" s="22"/>
      <c r="I46" s="22"/>
      <c r="J46" s="22"/>
      <c r="K46" s="22"/>
      <c r="L46" s="22"/>
      <c r="M46" s="22"/>
      <c r="N46" s="22"/>
    </row>
    <row r="47" spans="1:14" ht="38.25" x14ac:dyDescent="0.15">
      <c r="A47" s="7" t="s">
        <v>263</v>
      </c>
      <c r="B47" s="8" t="s">
        <v>264</v>
      </c>
      <c r="C47" s="8" t="s">
        <v>265</v>
      </c>
      <c r="D47" s="8" t="s">
        <v>266</v>
      </c>
      <c r="E47" s="8" t="s">
        <v>267</v>
      </c>
      <c r="F47" s="8" t="s">
        <v>136</v>
      </c>
      <c r="G47" s="8" t="s">
        <v>267</v>
      </c>
      <c r="H47" s="8" t="s">
        <v>268</v>
      </c>
      <c r="I47" s="8" t="s">
        <v>269</v>
      </c>
      <c r="J47" s="8"/>
      <c r="K47" s="9" t="s">
        <v>18</v>
      </c>
      <c r="L47" s="25" t="s">
        <v>367</v>
      </c>
      <c r="M47" s="10">
        <v>46318</v>
      </c>
      <c r="N47" s="9"/>
    </row>
    <row r="48" spans="1:14" ht="38.25" x14ac:dyDescent="0.15">
      <c r="A48" s="7" t="s">
        <v>270</v>
      </c>
      <c r="B48" s="8" t="s">
        <v>264</v>
      </c>
      <c r="C48" s="11" t="s">
        <v>265</v>
      </c>
      <c r="D48" s="11" t="s">
        <v>266</v>
      </c>
      <c r="E48" s="11" t="s">
        <v>267</v>
      </c>
      <c r="F48" s="11" t="s">
        <v>136</v>
      </c>
      <c r="G48" s="11" t="s">
        <v>267</v>
      </c>
      <c r="H48" s="8" t="s">
        <v>271</v>
      </c>
      <c r="I48" s="8" t="s">
        <v>272</v>
      </c>
      <c r="J48" s="8"/>
      <c r="K48" s="9" t="s">
        <v>18</v>
      </c>
      <c r="L48" s="25" t="s">
        <v>367</v>
      </c>
      <c r="M48" s="10">
        <v>46318</v>
      </c>
      <c r="N48" s="9"/>
    </row>
    <row r="49" spans="1:14" ht="25.5" x14ac:dyDescent="0.15">
      <c r="A49" s="7" t="s">
        <v>273</v>
      </c>
      <c r="B49" s="8" t="s">
        <v>264</v>
      </c>
      <c r="C49" s="11" t="s">
        <v>265</v>
      </c>
      <c r="D49" s="11" t="s">
        <v>266</v>
      </c>
      <c r="E49" s="11" t="s">
        <v>267</v>
      </c>
      <c r="F49" s="11" t="s">
        <v>136</v>
      </c>
      <c r="G49" s="11" t="s">
        <v>267</v>
      </c>
      <c r="H49" s="8" t="s">
        <v>274</v>
      </c>
      <c r="I49" s="8" t="s">
        <v>275</v>
      </c>
      <c r="J49" s="8" t="s">
        <v>145</v>
      </c>
      <c r="K49" s="9" t="s">
        <v>18</v>
      </c>
      <c r="L49" s="25" t="s">
        <v>367</v>
      </c>
      <c r="M49" s="10">
        <v>46318</v>
      </c>
      <c r="N49" s="9"/>
    </row>
    <row r="50" spans="1:14" ht="20.100000000000001" customHeight="1" x14ac:dyDescent="0.15">
      <c r="A50" s="21" t="s">
        <v>276</v>
      </c>
      <c r="B50" s="22"/>
      <c r="C50" s="22"/>
      <c r="D50" s="22"/>
      <c r="E50" s="22"/>
      <c r="F50" s="22"/>
      <c r="G50" s="22"/>
      <c r="H50" s="22"/>
      <c r="I50" s="22"/>
      <c r="J50" s="22"/>
      <c r="K50" s="22"/>
      <c r="L50" s="22"/>
      <c r="M50" s="22"/>
      <c r="N50" s="22"/>
    </row>
    <row r="51" spans="1:14" ht="51" x14ac:dyDescent="0.15">
      <c r="A51" s="7" t="s">
        <v>277</v>
      </c>
      <c r="B51" s="8" t="s">
        <v>278</v>
      </c>
      <c r="C51" s="8" t="s">
        <v>279</v>
      </c>
      <c r="D51" s="8" t="s">
        <v>280</v>
      </c>
      <c r="E51" s="8" t="s">
        <v>151</v>
      </c>
      <c r="F51" s="8" t="s">
        <v>117</v>
      </c>
      <c r="G51" s="8" t="s">
        <v>244</v>
      </c>
      <c r="H51" s="8" t="s">
        <v>281</v>
      </c>
      <c r="I51" s="8" t="s">
        <v>282</v>
      </c>
      <c r="J51" s="8" t="s">
        <v>145</v>
      </c>
      <c r="K51" s="9" t="s">
        <v>24</v>
      </c>
      <c r="L51" s="9"/>
      <c r="M51" s="10"/>
      <c r="N51" s="9"/>
    </row>
    <row r="52" spans="1:14" ht="25.5" x14ac:dyDescent="0.15">
      <c r="A52" s="7" t="s">
        <v>283</v>
      </c>
      <c r="B52" s="8" t="s">
        <v>278</v>
      </c>
      <c r="C52" s="11" t="s">
        <v>279</v>
      </c>
      <c r="D52" s="11" t="s">
        <v>280</v>
      </c>
      <c r="E52" s="11" t="s">
        <v>151</v>
      </c>
      <c r="F52" s="11" t="s">
        <v>117</v>
      </c>
      <c r="G52" s="11" t="s">
        <v>244</v>
      </c>
      <c r="H52" s="8" t="s">
        <v>284</v>
      </c>
      <c r="I52" s="8" t="s">
        <v>285</v>
      </c>
      <c r="J52" s="8" t="s">
        <v>145</v>
      </c>
      <c r="K52" s="9" t="s">
        <v>24</v>
      </c>
      <c r="L52" s="9"/>
      <c r="M52" s="10"/>
      <c r="N52" s="9"/>
    </row>
  </sheetData>
  <autoFilter ref="A3:N52" xr:uid="{00000000-0009-0000-0000-000001000000}"/>
  <mergeCells count="9">
    <mergeCell ref="A39:N39"/>
    <mergeCell ref="A12:N12"/>
    <mergeCell ref="A4:N4"/>
    <mergeCell ref="A50:N50"/>
    <mergeCell ref="A29:N29"/>
    <mergeCell ref="A46:N46"/>
    <mergeCell ref="A19:N19"/>
    <mergeCell ref="A33:N33"/>
    <mergeCell ref="A23:N23"/>
  </mergeCells>
  <phoneticPr fontId="9"/>
  <conditionalFormatting sqref="K4:K52">
    <cfRule type="cellIs" dxfId="9" priority="1" operator="equal">
      <formula>"Pass"</formula>
    </cfRule>
    <cfRule type="cellIs" dxfId="8" priority="2" operator="equal">
      <formula>"Fail"</formula>
    </cfRule>
    <cfRule type="expression" dxfId="7" priority="3">
      <formula>AND(ISLOGICAL(K4),K4=FALSE)</formula>
    </cfRule>
    <cfRule type="cellIs" dxfId="6" priority="4" operator="equal">
      <formula>"Blocked"</formula>
    </cfRule>
    <cfRule type="cellIs" dxfId="5" priority="5" operator="equal">
      <formula>"N/A"</formula>
    </cfRule>
    <cfRule type="cellIs" dxfId="4" priority="6" operator="equal">
      <formula>"Not run"</formula>
    </cfRule>
  </conditionalFormatting>
  <dataValidations count="2">
    <dataValidation type="list" errorStyle="warning" allowBlank="1" showErrorMessage="1" errorTitle="Status" error="Use Pass, Fail, Blocked, Not run or N/A." sqref="K4:K52" xr:uid="{00000000-0002-0000-0100-000000000000}">
      <formula1>"Pass,Fail,Blocked,Not run,N/A"</formula1>
    </dataValidation>
    <dataValidation type="date" errorStyle="warning" operator="greaterThan" allowBlank="1" showErrorMessage="1" error="Enter a date, e.g. 2026-10-23." sqref="M4:M52" xr:uid="{00000000-0002-0000-0100-000001000000}">
      <formula1>45900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8"/>
  <sheetViews>
    <sheetView workbookViewId="0">
      <pane xSplit="2" ySplit="4" topLeftCell="C5" activePane="bottomRight" state="frozen"/>
      <selection pane="topRight"/>
      <selection pane="bottomLeft"/>
      <selection pane="bottomRight"/>
    </sheetView>
  </sheetViews>
  <sheetFormatPr defaultRowHeight="13.5" x14ac:dyDescent="0.15"/>
  <cols>
    <col min="1" max="1" width="8" customWidth="1"/>
    <col min="2" max="2" width="46" customWidth="1"/>
    <col min="3" max="3" width="16" customWidth="1"/>
    <col min="4" max="4" width="13" customWidth="1"/>
    <col min="5" max="5" width="8" customWidth="1"/>
    <col min="6" max="6" width="9" customWidth="1"/>
    <col min="7" max="8" width="7" customWidth="1"/>
    <col min="9" max="9" width="8" customWidth="1"/>
    <col min="10" max="10" width="7" customWidth="1"/>
    <col min="11" max="12" width="10" customWidth="1"/>
    <col min="13" max="13" width="9" customWidth="1"/>
    <col min="14" max="14" width="13" customWidth="1"/>
  </cols>
  <sheetData>
    <row r="1" spans="1:14" ht="18" x14ac:dyDescent="0.25">
      <c r="A1" s="4" t="s">
        <v>286</v>
      </c>
    </row>
    <row r="2" spans="1:14" ht="14.25" x14ac:dyDescent="0.2">
      <c r="A2" s="5" t="s">
        <v>287</v>
      </c>
    </row>
    <row r="4" spans="1:14" ht="25.5" x14ac:dyDescent="0.15">
      <c r="A4" s="6" t="s">
        <v>99</v>
      </c>
      <c r="B4" s="6" t="s">
        <v>100</v>
      </c>
      <c r="C4" s="6" t="s">
        <v>101</v>
      </c>
      <c r="D4" s="6" t="s">
        <v>102</v>
      </c>
      <c r="E4" s="6" t="s">
        <v>288</v>
      </c>
      <c r="F4" s="6" t="s">
        <v>289</v>
      </c>
      <c r="G4" s="6" t="s">
        <v>18</v>
      </c>
      <c r="H4" s="6" t="s">
        <v>20</v>
      </c>
      <c r="I4" s="6" t="s">
        <v>22</v>
      </c>
      <c r="J4" s="6" t="s">
        <v>26</v>
      </c>
      <c r="K4" s="6" t="s">
        <v>290</v>
      </c>
      <c r="L4" s="6" t="s">
        <v>291</v>
      </c>
      <c r="M4" s="6" t="s">
        <v>292</v>
      </c>
      <c r="N4" s="6" t="s">
        <v>293</v>
      </c>
    </row>
    <row r="5" spans="1:14" x14ac:dyDescent="0.15">
      <c r="A5" s="12" t="s">
        <v>113</v>
      </c>
      <c r="B5" s="8" t="s">
        <v>114</v>
      </c>
      <c r="C5" s="8" t="s">
        <v>115</v>
      </c>
      <c r="D5" s="13" t="s">
        <v>116</v>
      </c>
      <c r="E5" s="13">
        <f>COUNTIF(Checklist!$B$4:$B$52,$A5)</f>
        <v>2</v>
      </c>
      <c r="F5" s="13">
        <f>COUNTIFS(Checklist!$B$4:$B$52,$A5,Checklist!$J$4:$J$52,"&lt;&gt;Yes")</f>
        <v>2</v>
      </c>
      <c r="G5" s="13">
        <f>COUNTIFS(Checklist!$B$4:$B$52,$A5,Checklist!$K$4:$K$52,"Pass")</f>
        <v>2</v>
      </c>
      <c r="H5" s="13">
        <f>COUNTIFS(Checklist!$B$4:$B$52,$A5,Checklist!$K$4:$K$52,"Fail")+COUNTIFS(Checklist!$B$4:$B$52,$A5,Checklist!$K$4:$K$52,FALSE)</f>
        <v>0</v>
      </c>
      <c r="I5" s="13">
        <f>COUNTIFS(Checklist!$B$4:$B$52,$A5,Checklist!$K$4:$K$52,"Blocked")</f>
        <v>0</v>
      </c>
      <c r="J5" s="13">
        <f>COUNTIFS(Checklist!$B$4:$B$52,$A5,Checklist!$K$4:$K$52,"N/A")</f>
        <v>0</v>
      </c>
      <c r="K5" s="13">
        <f t="shared" ref="K5:K16" si="0">E5-G5-H5-I5-J5</f>
        <v>0</v>
      </c>
      <c r="L5" s="13">
        <f>F5-COUNTIFS(Checklist!$B$4:$B$52,$A5,Checklist!$J$4:$J$52,"&lt;&gt;Yes",Checklist!$K$4:$K$52,"Pass")-COUNTIFS(Checklist!$B$4:$B$52,$A5,Checklist!$J$4:$J$52,"&lt;&gt;Yes",Checklist!$K$4:$K$52,"N/A")</f>
        <v>0</v>
      </c>
      <c r="M5" s="14">
        <f t="shared" ref="M5:M16" si="1">IF(E5=0,0,(G5+H5+I5+J5)/E5)</f>
        <v>1</v>
      </c>
      <c r="N5" s="13" t="str">
        <f t="shared" ref="N5:N16" si="2">IF(H5&gt;0,"Fail",IF(I5&gt;0,"Blocked",IF(L5=0,IF(F5=0,IF(G5+J5=0,"Optional","Pass"),"Pass"),IF(G5+J5=0,"Not started","In progress"))))</f>
        <v>Pass</v>
      </c>
    </row>
    <row r="6" spans="1:14" x14ac:dyDescent="0.15">
      <c r="A6" s="12" t="s">
        <v>125</v>
      </c>
      <c r="B6" s="8" t="s">
        <v>126</v>
      </c>
      <c r="C6" s="8" t="s">
        <v>115</v>
      </c>
      <c r="D6" s="13" t="s">
        <v>116</v>
      </c>
      <c r="E6" s="13">
        <f>COUNTIF(Checklist!$B$4:$B$52,$A6)</f>
        <v>2</v>
      </c>
      <c r="F6" s="13">
        <f>COUNTIFS(Checklist!$B$4:$B$52,$A6,Checklist!$J$4:$J$52,"&lt;&gt;Yes")</f>
        <v>2</v>
      </c>
      <c r="G6" s="13">
        <f>COUNTIFS(Checklist!$B$4:$B$52,$A6,Checklist!$K$4:$K$52,"Pass")</f>
        <v>2</v>
      </c>
      <c r="H6" s="13">
        <f>COUNTIFS(Checklist!$B$4:$B$52,$A6,Checklist!$K$4:$K$52,"Fail")+COUNTIFS(Checklist!$B$4:$B$52,$A6,Checklist!$K$4:$K$52,FALSE)</f>
        <v>0</v>
      </c>
      <c r="I6" s="13">
        <f>COUNTIFS(Checklist!$B$4:$B$52,$A6,Checklist!$K$4:$K$52,"Blocked")</f>
        <v>0</v>
      </c>
      <c r="J6" s="13">
        <f>COUNTIFS(Checklist!$B$4:$B$52,$A6,Checklist!$K$4:$K$52,"N/A")</f>
        <v>0</v>
      </c>
      <c r="K6" s="13">
        <f t="shared" si="0"/>
        <v>0</v>
      </c>
      <c r="L6" s="13">
        <f>F6-COUNTIFS(Checklist!$B$4:$B$52,$A6,Checklist!$J$4:$J$52,"&lt;&gt;Yes",Checklist!$K$4:$K$52,"Pass")-COUNTIFS(Checklist!$B$4:$B$52,$A6,Checklist!$J$4:$J$52,"&lt;&gt;Yes",Checklist!$K$4:$K$52,"N/A")</f>
        <v>0</v>
      </c>
      <c r="M6" s="14">
        <f t="shared" si="1"/>
        <v>1</v>
      </c>
      <c r="N6" s="13" t="str">
        <f t="shared" si="2"/>
        <v>Pass</v>
      </c>
    </row>
    <row r="7" spans="1:14" x14ac:dyDescent="0.15">
      <c r="A7" s="12" t="s">
        <v>134</v>
      </c>
      <c r="B7" s="8" t="s">
        <v>135</v>
      </c>
      <c r="C7" s="8" t="s">
        <v>115</v>
      </c>
      <c r="D7" s="13" t="s">
        <v>116</v>
      </c>
      <c r="E7" s="13">
        <f>COUNTIF(Checklist!$B$4:$B$52,$A7)</f>
        <v>3</v>
      </c>
      <c r="F7" s="13">
        <f>COUNTIFS(Checklist!$B$4:$B$52,$A7,Checklist!$J$4:$J$52,"&lt;&gt;Yes")</f>
        <v>2</v>
      </c>
      <c r="G7" s="13">
        <f>COUNTIFS(Checklist!$B$4:$B$52,$A7,Checklist!$K$4:$K$52,"Pass")</f>
        <v>3</v>
      </c>
      <c r="H7" s="13">
        <f>COUNTIFS(Checklist!$B$4:$B$52,$A7,Checklist!$K$4:$K$52,"Fail")+COUNTIFS(Checklist!$B$4:$B$52,$A7,Checklist!$K$4:$K$52,FALSE)</f>
        <v>0</v>
      </c>
      <c r="I7" s="13">
        <f>COUNTIFS(Checklist!$B$4:$B$52,$A7,Checklist!$K$4:$K$52,"Blocked")</f>
        <v>0</v>
      </c>
      <c r="J7" s="13">
        <f>COUNTIFS(Checklist!$B$4:$B$52,$A7,Checklist!$K$4:$K$52,"N/A")</f>
        <v>0</v>
      </c>
      <c r="K7" s="13">
        <f t="shared" si="0"/>
        <v>0</v>
      </c>
      <c r="L7" s="13">
        <f>F7-COUNTIFS(Checklist!$B$4:$B$52,$A7,Checklist!$J$4:$J$52,"&lt;&gt;Yes",Checklist!$K$4:$K$52,"Pass")-COUNTIFS(Checklist!$B$4:$B$52,$A7,Checklist!$J$4:$J$52,"&lt;&gt;Yes",Checklist!$K$4:$K$52,"N/A")</f>
        <v>0</v>
      </c>
      <c r="M7" s="14">
        <f t="shared" si="1"/>
        <v>1</v>
      </c>
      <c r="N7" s="13" t="str">
        <f t="shared" si="2"/>
        <v>Pass</v>
      </c>
    </row>
    <row r="8" spans="1:14" x14ac:dyDescent="0.15">
      <c r="A8" s="12" t="s">
        <v>148</v>
      </c>
      <c r="B8" s="8" t="s">
        <v>149</v>
      </c>
      <c r="C8" s="8" t="s">
        <v>150</v>
      </c>
      <c r="D8" s="13" t="s">
        <v>151</v>
      </c>
      <c r="E8" s="13">
        <f>COUNTIF(Checklist!$B$4:$B$52,$A8)</f>
        <v>4</v>
      </c>
      <c r="F8" s="13">
        <f>COUNTIFS(Checklist!$B$4:$B$52,$A8,Checklist!$J$4:$J$52,"&lt;&gt;Yes")</f>
        <v>4</v>
      </c>
      <c r="G8" s="13">
        <f>COUNTIFS(Checklist!$B$4:$B$52,$A8,Checklist!$K$4:$K$52,"Pass")</f>
        <v>4</v>
      </c>
      <c r="H8" s="13">
        <f>COUNTIFS(Checklist!$B$4:$B$52,$A8,Checklist!$K$4:$K$52,"Fail")+COUNTIFS(Checklist!$B$4:$B$52,$A8,Checklist!$K$4:$K$52,FALSE)</f>
        <v>0</v>
      </c>
      <c r="I8" s="13">
        <f>COUNTIFS(Checklist!$B$4:$B$52,$A8,Checklist!$K$4:$K$52,"Blocked")</f>
        <v>0</v>
      </c>
      <c r="J8" s="13">
        <f>COUNTIFS(Checklist!$B$4:$B$52,$A8,Checklist!$K$4:$K$52,"N/A")</f>
        <v>0</v>
      </c>
      <c r="K8" s="13">
        <f t="shared" si="0"/>
        <v>0</v>
      </c>
      <c r="L8" s="13">
        <f>F8-COUNTIFS(Checklist!$B$4:$B$52,$A8,Checklist!$J$4:$J$52,"&lt;&gt;Yes",Checklist!$K$4:$K$52,"Pass")-COUNTIFS(Checklist!$B$4:$B$52,$A8,Checklist!$J$4:$J$52,"&lt;&gt;Yes",Checklist!$K$4:$K$52,"N/A")</f>
        <v>0</v>
      </c>
      <c r="M8" s="14">
        <f t="shared" si="1"/>
        <v>1</v>
      </c>
      <c r="N8" s="13" t="str">
        <f t="shared" si="2"/>
        <v>Pass</v>
      </c>
    </row>
    <row r="9" spans="1:14" x14ac:dyDescent="0.15">
      <c r="A9" s="12" t="s">
        <v>164</v>
      </c>
      <c r="B9" s="8" t="s">
        <v>165</v>
      </c>
      <c r="C9" s="8" t="s">
        <v>166</v>
      </c>
      <c r="D9" s="13" t="s">
        <v>116</v>
      </c>
      <c r="E9" s="13">
        <f>COUNTIF(Checklist!$B$4:$B$52,$A9)</f>
        <v>2</v>
      </c>
      <c r="F9" s="13">
        <f>COUNTIFS(Checklist!$B$4:$B$52,$A9,Checklist!$J$4:$J$52,"&lt;&gt;Yes")</f>
        <v>1</v>
      </c>
      <c r="G9" s="13">
        <f>COUNTIFS(Checklist!$B$4:$B$52,$A9,Checklist!$K$4:$K$52,"Pass")</f>
        <v>2</v>
      </c>
      <c r="H9" s="13">
        <f>COUNTIFS(Checklist!$B$4:$B$52,$A9,Checklist!$K$4:$K$52,"Fail")+COUNTIFS(Checklist!$B$4:$B$52,$A9,Checklist!$K$4:$K$52,FALSE)</f>
        <v>0</v>
      </c>
      <c r="I9" s="13">
        <f>COUNTIFS(Checklist!$B$4:$B$52,$A9,Checklist!$K$4:$K$52,"Blocked")</f>
        <v>0</v>
      </c>
      <c r="J9" s="13">
        <f>COUNTIFS(Checklist!$B$4:$B$52,$A9,Checklist!$K$4:$K$52,"N/A")</f>
        <v>0</v>
      </c>
      <c r="K9" s="13">
        <f t="shared" si="0"/>
        <v>0</v>
      </c>
      <c r="L9" s="13">
        <f>F9-COUNTIFS(Checklist!$B$4:$B$52,$A9,Checklist!$J$4:$J$52,"&lt;&gt;Yes",Checklist!$K$4:$K$52,"Pass")-COUNTIFS(Checklist!$B$4:$B$52,$A9,Checklist!$J$4:$J$52,"&lt;&gt;Yes",Checklist!$K$4:$K$52,"N/A")</f>
        <v>0</v>
      </c>
      <c r="M9" s="14">
        <f t="shared" si="1"/>
        <v>1</v>
      </c>
      <c r="N9" s="13" t="str">
        <f t="shared" si="2"/>
        <v>Pass</v>
      </c>
    </row>
    <row r="10" spans="1:14" x14ac:dyDescent="0.15">
      <c r="A10" s="12" t="s">
        <v>174</v>
      </c>
      <c r="B10" s="8" t="s">
        <v>175</v>
      </c>
      <c r="C10" s="8" t="s">
        <v>176</v>
      </c>
      <c r="D10" s="13" t="s">
        <v>116</v>
      </c>
      <c r="E10" s="13">
        <f>COUNTIF(Checklist!$B$4:$B$52,$A10)</f>
        <v>3</v>
      </c>
      <c r="F10" s="13">
        <f>COUNTIFS(Checklist!$B$4:$B$52,$A10,Checklist!$J$4:$J$52,"&lt;&gt;Yes")</f>
        <v>2</v>
      </c>
      <c r="G10" s="13">
        <f>COUNTIFS(Checklist!$B$4:$B$52,$A10,Checklist!$K$4:$K$52,"Pass")</f>
        <v>3</v>
      </c>
      <c r="H10" s="13">
        <f>COUNTIFS(Checklist!$B$4:$B$52,$A10,Checklist!$K$4:$K$52,"Fail")+COUNTIFS(Checklist!$B$4:$B$52,$A10,Checklist!$K$4:$K$52,FALSE)</f>
        <v>0</v>
      </c>
      <c r="I10" s="13">
        <f>COUNTIFS(Checklist!$B$4:$B$52,$A10,Checklist!$K$4:$K$52,"Blocked")</f>
        <v>0</v>
      </c>
      <c r="J10" s="13">
        <f>COUNTIFS(Checklist!$B$4:$B$52,$A10,Checklist!$K$4:$K$52,"N/A")</f>
        <v>0</v>
      </c>
      <c r="K10" s="13">
        <f t="shared" si="0"/>
        <v>0</v>
      </c>
      <c r="L10" s="13">
        <f>F10-COUNTIFS(Checklist!$B$4:$B$52,$A10,Checklist!$J$4:$J$52,"&lt;&gt;Yes",Checklist!$K$4:$K$52,"Pass")-COUNTIFS(Checklist!$B$4:$B$52,$A10,Checklist!$J$4:$J$52,"&lt;&gt;Yes",Checklist!$K$4:$K$52,"N/A")</f>
        <v>0</v>
      </c>
      <c r="M10" s="14">
        <f t="shared" si="1"/>
        <v>1</v>
      </c>
      <c r="N10" s="13" t="str">
        <f t="shared" si="2"/>
        <v>Pass</v>
      </c>
    </row>
    <row r="11" spans="1:14" x14ac:dyDescent="0.15">
      <c r="A11" s="12" t="s">
        <v>187</v>
      </c>
      <c r="B11" s="8" t="s">
        <v>188</v>
      </c>
      <c r="C11" s="8" t="s">
        <v>189</v>
      </c>
      <c r="D11" s="13" t="s">
        <v>190</v>
      </c>
      <c r="E11" s="13">
        <f>COUNTIF(Checklist!$B$4:$B$52,$A11)</f>
        <v>5</v>
      </c>
      <c r="F11" s="13">
        <f>COUNTIFS(Checklist!$B$4:$B$52,$A11,Checklist!$J$4:$J$52,"&lt;&gt;Yes")</f>
        <v>3</v>
      </c>
      <c r="G11" s="13">
        <f>COUNTIFS(Checklist!$B$4:$B$52,$A11,Checklist!$K$4:$K$52,"Pass")</f>
        <v>5</v>
      </c>
      <c r="H11" s="13">
        <f>COUNTIFS(Checklist!$B$4:$B$52,$A11,Checklist!$K$4:$K$52,"Fail")+COUNTIFS(Checklist!$B$4:$B$52,$A11,Checklist!$K$4:$K$52,FALSE)</f>
        <v>0</v>
      </c>
      <c r="I11" s="13">
        <f>COUNTIFS(Checklist!$B$4:$B$52,$A11,Checklist!$K$4:$K$52,"Blocked")</f>
        <v>0</v>
      </c>
      <c r="J11" s="13">
        <f>COUNTIFS(Checklist!$B$4:$B$52,$A11,Checklist!$K$4:$K$52,"N/A")</f>
        <v>0</v>
      </c>
      <c r="K11" s="13">
        <f t="shared" si="0"/>
        <v>0</v>
      </c>
      <c r="L11" s="13">
        <f>F11-COUNTIFS(Checklist!$B$4:$B$52,$A11,Checklist!$J$4:$J$52,"&lt;&gt;Yes",Checklist!$K$4:$K$52,"Pass")-COUNTIFS(Checklist!$B$4:$B$52,$A11,Checklist!$J$4:$J$52,"&lt;&gt;Yes",Checklist!$K$4:$K$52,"N/A")</f>
        <v>0</v>
      </c>
      <c r="M11" s="14">
        <f t="shared" si="1"/>
        <v>1</v>
      </c>
      <c r="N11" s="13" t="str">
        <f t="shared" si="2"/>
        <v>Pass</v>
      </c>
    </row>
    <row r="12" spans="1:14" x14ac:dyDescent="0.15">
      <c r="A12" s="12" t="s">
        <v>207</v>
      </c>
      <c r="B12" s="8" t="s">
        <v>208</v>
      </c>
      <c r="C12" s="8" t="s">
        <v>209</v>
      </c>
      <c r="D12" s="13" t="s">
        <v>190</v>
      </c>
      <c r="E12" s="13">
        <f>COUNTIF(Checklist!$B$4:$B$52,$A12)</f>
        <v>3</v>
      </c>
      <c r="F12" s="13">
        <f>COUNTIFS(Checklist!$B$4:$B$52,$A12,Checklist!$J$4:$J$52,"&lt;&gt;Yes")</f>
        <v>3</v>
      </c>
      <c r="G12" s="13">
        <f>COUNTIFS(Checklist!$B$4:$B$52,$A12,Checklist!$K$4:$K$52,"Pass")</f>
        <v>3</v>
      </c>
      <c r="H12" s="13">
        <f>COUNTIFS(Checklist!$B$4:$B$52,$A12,Checklist!$K$4:$K$52,"Fail")+COUNTIFS(Checklist!$B$4:$B$52,$A12,Checklist!$K$4:$K$52,FALSE)</f>
        <v>0</v>
      </c>
      <c r="I12" s="13">
        <f>COUNTIFS(Checklist!$B$4:$B$52,$A12,Checklist!$K$4:$K$52,"Blocked")</f>
        <v>0</v>
      </c>
      <c r="J12" s="13">
        <f>COUNTIFS(Checklist!$B$4:$B$52,$A12,Checklist!$K$4:$K$52,"N/A")</f>
        <v>0</v>
      </c>
      <c r="K12" s="13">
        <f t="shared" si="0"/>
        <v>0</v>
      </c>
      <c r="L12" s="13">
        <f>F12-COUNTIFS(Checklist!$B$4:$B$52,$A12,Checklist!$J$4:$J$52,"&lt;&gt;Yes",Checklist!$K$4:$K$52,"Pass")-COUNTIFS(Checklist!$B$4:$B$52,$A12,Checklist!$J$4:$J$52,"&lt;&gt;Yes",Checklist!$K$4:$K$52,"N/A")</f>
        <v>0</v>
      </c>
      <c r="M12" s="14">
        <f t="shared" si="1"/>
        <v>1</v>
      </c>
      <c r="N12" s="13" t="str">
        <f t="shared" si="2"/>
        <v>Pass</v>
      </c>
    </row>
    <row r="13" spans="1:14" x14ac:dyDescent="0.15">
      <c r="A13" s="12" t="s">
        <v>220</v>
      </c>
      <c r="B13" s="8" t="s">
        <v>221</v>
      </c>
      <c r="C13" s="8" t="s">
        <v>222</v>
      </c>
      <c r="D13" s="13" t="s">
        <v>223</v>
      </c>
      <c r="E13" s="13">
        <f>COUNTIF(Checklist!$B$4:$B$52,$A13)</f>
        <v>5</v>
      </c>
      <c r="F13" s="13">
        <f>COUNTIFS(Checklist!$B$4:$B$52,$A13,Checklist!$J$4:$J$52,"&lt;&gt;Yes")</f>
        <v>3</v>
      </c>
      <c r="G13" s="13">
        <f>COUNTIFS(Checklist!$B$4:$B$52,$A13,Checklist!$K$4:$K$52,"Pass")</f>
        <v>5</v>
      </c>
      <c r="H13" s="13">
        <f>COUNTIFS(Checklist!$B$4:$B$52,$A13,Checklist!$K$4:$K$52,"Fail")+COUNTIFS(Checklist!$B$4:$B$52,$A13,Checklist!$K$4:$K$52,FALSE)</f>
        <v>0</v>
      </c>
      <c r="I13" s="13">
        <f>COUNTIFS(Checklist!$B$4:$B$52,$A13,Checklist!$K$4:$K$52,"Blocked")</f>
        <v>0</v>
      </c>
      <c r="J13" s="13">
        <f>COUNTIFS(Checklist!$B$4:$B$52,$A13,Checklist!$K$4:$K$52,"N/A")</f>
        <v>0</v>
      </c>
      <c r="K13" s="13">
        <f t="shared" si="0"/>
        <v>0</v>
      </c>
      <c r="L13" s="13">
        <f>F13-COUNTIFS(Checklist!$B$4:$B$52,$A13,Checklist!$J$4:$J$52,"&lt;&gt;Yes",Checklist!$K$4:$K$52,"Pass")-COUNTIFS(Checklist!$B$4:$B$52,$A13,Checklist!$J$4:$J$52,"&lt;&gt;Yes",Checklist!$K$4:$K$52,"N/A")</f>
        <v>0</v>
      </c>
      <c r="M13" s="14">
        <f t="shared" si="1"/>
        <v>1</v>
      </c>
      <c r="N13" s="13" t="str">
        <f t="shared" si="2"/>
        <v>Pass</v>
      </c>
    </row>
    <row r="14" spans="1:14" x14ac:dyDescent="0.15">
      <c r="A14" s="12" t="s">
        <v>240</v>
      </c>
      <c r="B14" s="8" t="s">
        <v>241</v>
      </c>
      <c r="C14" s="8" t="s">
        <v>242</v>
      </c>
      <c r="D14" s="13" t="s">
        <v>190</v>
      </c>
      <c r="E14" s="13">
        <f>COUNTIF(Checklist!$B$4:$B$52,$A14)</f>
        <v>6</v>
      </c>
      <c r="F14" s="13">
        <f>COUNTIFS(Checklist!$B$4:$B$52,$A14,Checklist!$J$4:$J$52,"&lt;&gt;Yes")</f>
        <v>5</v>
      </c>
      <c r="G14" s="13">
        <f>COUNTIFS(Checklist!$B$4:$B$52,$A14,Checklist!$K$4:$K$52,"Pass")</f>
        <v>6</v>
      </c>
      <c r="H14" s="13">
        <f>COUNTIFS(Checklist!$B$4:$B$52,$A14,Checklist!$K$4:$K$52,"Fail")+COUNTIFS(Checklist!$B$4:$B$52,$A14,Checklist!$K$4:$K$52,FALSE)</f>
        <v>0</v>
      </c>
      <c r="I14" s="13">
        <f>COUNTIFS(Checklist!$B$4:$B$52,$A14,Checklist!$K$4:$K$52,"Blocked")</f>
        <v>0</v>
      </c>
      <c r="J14" s="13">
        <f>COUNTIFS(Checklist!$B$4:$B$52,$A14,Checklist!$K$4:$K$52,"N/A")</f>
        <v>0</v>
      </c>
      <c r="K14" s="13">
        <f t="shared" si="0"/>
        <v>0</v>
      </c>
      <c r="L14" s="13">
        <f>F14-COUNTIFS(Checklist!$B$4:$B$52,$A14,Checklist!$J$4:$J$52,"&lt;&gt;Yes",Checklist!$K$4:$K$52,"Pass")-COUNTIFS(Checklist!$B$4:$B$52,$A14,Checklist!$J$4:$J$52,"&lt;&gt;Yes",Checklist!$K$4:$K$52,"N/A")</f>
        <v>0</v>
      </c>
      <c r="M14" s="14">
        <f t="shared" si="1"/>
        <v>1</v>
      </c>
      <c r="N14" s="13" t="str">
        <f t="shared" si="2"/>
        <v>Pass</v>
      </c>
    </row>
    <row r="15" spans="1:14" x14ac:dyDescent="0.15">
      <c r="A15" s="12" t="s">
        <v>264</v>
      </c>
      <c r="B15" s="8" t="s">
        <v>265</v>
      </c>
      <c r="C15" s="8" t="s">
        <v>266</v>
      </c>
      <c r="D15" s="13" t="s">
        <v>267</v>
      </c>
      <c r="E15" s="13">
        <f>COUNTIF(Checklist!$B$4:$B$52,$A15)</f>
        <v>3</v>
      </c>
      <c r="F15" s="13">
        <f>COUNTIFS(Checklist!$B$4:$B$52,$A15,Checklist!$J$4:$J$52,"&lt;&gt;Yes")</f>
        <v>2</v>
      </c>
      <c r="G15" s="13">
        <f>COUNTIFS(Checklist!$B$4:$B$52,$A15,Checklist!$K$4:$K$52,"Pass")</f>
        <v>3</v>
      </c>
      <c r="H15" s="13">
        <f>COUNTIFS(Checklist!$B$4:$B$52,$A15,Checklist!$K$4:$K$52,"Fail")+COUNTIFS(Checklist!$B$4:$B$52,$A15,Checklist!$K$4:$K$52,FALSE)</f>
        <v>0</v>
      </c>
      <c r="I15" s="13">
        <f>COUNTIFS(Checklist!$B$4:$B$52,$A15,Checklist!$K$4:$K$52,"Blocked")</f>
        <v>0</v>
      </c>
      <c r="J15" s="13">
        <f>COUNTIFS(Checklist!$B$4:$B$52,$A15,Checklist!$K$4:$K$52,"N/A")</f>
        <v>0</v>
      </c>
      <c r="K15" s="13">
        <f t="shared" si="0"/>
        <v>0</v>
      </c>
      <c r="L15" s="13">
        <f>F15-COUNTIFS(Checklist!$B$4:$B$52,$A15,Checklist!$J$4:$J$52,"&lt;&gt;Yes",Checklist!$K$4:$K$52,"Pass")-COUNTIFS(Checklist!$B$4:$B$52,$A15,Checklist!$J$4:$J$52,"&lt;&gt;Yes",Checklist!$K$4:$K$52,"N/A")</f>
        <v>0</v>
      </c>
      <c r="M15" s="14">
        <f t="shared" si="1"/>
        <v>1</v>
      </c>
      <c r="N15" s="13" t="str">
        <f t="shared" si="2"/>
        <v>Pass</v>
      </c>
    </row>
    <row r="16" spans="1:14" x14ac:dyDescent="0.15">
      <c r="A16" s="12" t="s">
        <v>278</v>
      </c>
      <c r="B16" s="8" t="s">
        <v>279</v>
      </c>
      <c r="C16" s="8" t="s">
        <v>280</v>
      </c>
      <c r="D16" s="13" t="s">
        <v>151</v>
      </c>
      <c r="E16" s="13">
        <f>COUNTIF(Checklist!$B$4:$B$52,$A16)</f>
        <v>2</v>
      </c>
      <c r="F16" s="13">
        <f>COUNTIFS(Checklist!$B$4:$B$52,$A16,Checklist!$J$4:$J$52,"&lt;&gt;Yes")</f>
        <v>0</v>
      </c>
      <c r="G16" s="13">
        <f>COUNTIFS(Checklist!$B$4:$B$52,$A16,Checklist!$K$4:$K$52,"Pass")</f>
        <v>0</v>
      </c>
      <c r="H16" s="13">
        <f>COUNTIFS(Checklist!$B$4:$B$52,$A16,Checklist!$K$4:$K$52,"Fail")+COUNTIFS(Checklist!$B$4:$B$52,$A16,Checklist!$K$4:$K$52,FALSE)</f>
        <v>0</v>
      </c>
      <c r="I16" s="13">
        <f>COUNTIFS(Checklist!$B$4:$B$52,$A16,Checklist!$K$4:$K$52,"Blocked")</f>
        <v>0</v>
      </c>
      <c r="J16" s="13">
        <f>COUNTIFS(Checklist!$B$4:$B$52,$A16,Checklist!$K$4:$K$52,"N/A")</f>
        <v>0</v>
      </c>
      <c r="K16" s="13">
        <f t="shared" si="0"/>
        <v>2</v>
      </c>
      <c r="L16" s="13">
        <f>F16-COUNTIFS(Checklist!$B$4:$B$52,$A16,Checklist!$J$4:$J$52,"&lt;&gt;Yes",Checklist!$K$4:$K$52,"Pass")-COUNTIFS(Checklist!$B$4:$B$52,$A16,Checklist!$J$4:$J$52,"&lt;&gt;Yes",Checklist!$K$4:$K$52,"N/A")</f>
        <v>0</v>
      </c>
      <c r="M16" s="14">
        <f t="shared" si="1"/>
        <v>0</v>
      </c>
      <c r="N16" s="13" t="str">
        <f t="shared" si="2"/>
        <v>Optional</v>
      </c>
    </row>
    <row r="18" spans="1:14" ht="14.25" x14ac:dyDescent="0.2">
      <c r="A18" s="15" t="s">
        <v>266</v>
      </c>
      <c r="B18" s="15" t="s">
        <v>294</v>
      </c>
      <c r="E18" s="16">
        <f t="shared" ref="E18:L18" si="3">SUM(E5:E16)</f>
        <v>40</v>
      </c>
      <c r="F18" s="16">
        <f t="shared" si="3"/>
        <v>29</v>
      </c>
      <c r="G18" s="16">
        <f t="shared" si="3"/>
        <v>38</v>
      </c>
      <c r="H18" s="16">
        <f t="shared" si="3"/>
        <v>0</v>
      </c>
      <c r="I18" s="16">
        <f t="shared" si="3"/>
        <v>0</v>
      </c>
      <c r="J18" s="16">
        <f t="shared" si="3"/>
        <v>0</v>
      </c>
      <c r="K18" s="16">
        <f t="shared" si="3"/>
        <v>2</v>
      </c>
      <c r="L18" s="16">
        <f t="shared" si="3"/>
        <v>0</v>
      </c>
      <c r="M18" s="17">
        <f>IF(E18=0,0,(G18+H18+I18+J18)/E18)</f>
        <v>0.95</v>
      </c>
      <c r="N18" s="16" t="str">
        <f>IF(H18&gt;0,"Fail",IF(I18&gt;0,"Blocked",IF(L18=0,"Pass",IF(G18+J18=0,"Not started","In progress"))))</f>
        <v>Pass</v>
      </c>
    </row>
  </sheetData>
  <phoneticPr fontId="9"/>
  <conditionalFormatting sqref="N5:N18">
    <cfRule type="cellIs" dxfId="3" priority="1" operator="equal">
      <formula>"Pass"</formula>
    </cfRule>
    <cfRule type="cellIs" dxfId="2" priority="2" operator="equal">
      <formula>"Fail"</formula>
    </cfRule>
    <cfRule type="cellIs" dxfId="1" priority="3" operator="equal">
      <formula>"Blocked"</formula>
    </cfRule>
    <cfRule type="cellIs" dxfId="0" priority="4" operator="equal">
      <formula>"In progress"</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0"/>
  <sheetViews>
    <sheetView workbookViewId="0"/>
  </sheetViews>
  <sheetFormatPr defaultRowHeight="13.5" x14ac:dyDescent="0.15"/>
  <cols>
    <col min="1" max="1" width="70" customWidth="1"/>
    <col min="2" max="2" width="12" customWidth="1"/>
    <col min="3" max="3" width="62" customWidth="1"/>
  </cols>
  <sheetData>
    <row r="1" spans="1:3" ht="18" x14ac:dyDescent="0.25">
      <c r="A1" s="4" t="s">
        <v>295</v>
      </c>
    </row>
    <row r="3" spans="1:3" ht="15" x14ac:dyDescent="0.25">
      <c r="A3" s="18" t="s">
        <v>296</v>
      </c>
    </row>
    <row r="4" spans="1:3" ht="14.25" x14ac:dyDescent="0.2">
      <c r="A4" s="19" t="s">
        <v>297</v>
      </c>
      <c r="B4" s="19" t="s">
        <v>98</v>
      </c>
      <c r="C4" s="19" t="s">
        <v>298</v>
      </c>
    </row>
    <row r="5" spans="1:3" x14ac:dyDescent="0.15">
      <c r="A5" s="8" t="s">
        <v>299</v>
      </c>
      <c r="B5" s="8" t="s">
        <v>300</v>
      </c>
      <c r="C5" s="8" t="s">
        <v>301</v>
      </c>
    </row>
    <row r="6" spans="1:3" ht="25.5" x14ac:dyDescent="0.15">
      <c r="A6" s="8" t="s">
        <v>302</v>
      </c>
      <c r="B6" s="8" t="s">
        <v>267</v>
      </c>
      <c r="C6" s="8" t="s">
        <v>303</v>
      </c>
    </row>
    <row r="7" spans="1:3" ht="25.5" x14ac:dyDescent="0.15">
      <c r="A7" s="8" t="s">
        <v>304</v>
      </c>
      <c r="B7" s="8" t="s">
        <v>305</v>
      </c>
      <c r="C7" s="8" t="s">
        <v>306</v>
      </c>
    </row>
    <row r="8" spans="1:3" x14ac:dyDescent="0.15">
      <c r="A8" s="8" t="s">
        <v>307</v>
      </c>
      <c r="B8" s="8" t="s">
        <v>308</v>
      </c>
      <c r="C8" s="8" t="s">
        <v>309</v>
      </c>
    </row>
    <row r="9" spans="1:3" x14ac:dyDescent="0.15">
      <c r="A9" s="8" t="s">
        <v>310</v>
      </c>
      <c r="B9" s="8" t="s">
        <v>267</v>
      </c>
      <c r="C9" s="8" t="s">
        <v>311</v>
      </c>
    </row>
    <row r="10" spans="1:3" x14ac:dyDescent="0.15">
      <c r="A10" s="8" t="s">
        <v>312</v>
      </c>
      <c r="B10" s="8" t="s">
        <v>313</v>
      </c>
      <c r="C10" s="8" t="s">
        <v>314</v>
      </c>
    </row>
    <row r="11" spans="1:3" ht="25.5" x14ac:dyDescent="0.15">
      <c r="A11" s="8" t="s">
        <v>315</v>
      </c>
      <c r="B11" s="8" t="s">
        <v>267</v>
      </c>
      <c r="C11" s="8" t="s">
        <v>316</v>
      </c>
    </row>
    <row r="12" spans="1:3" x14ac:dyDescent="0.15">
      <c r="A12" s="8" t="s">
        <v>317</v>
      </c>
      <c r="B12" s="8" t="s">
        <v>318</v>
      </c>
      <c r="C12" s="8" t="s">
        <v>319</v>
      </c>
    </row>
    <row r="13" spans="1:3" x14ac:dyDescent="0.15">
      <c r="A13" s="8" t="s">
        <v>320</v>
      </c>
      <c r="B13" s="8" t="s">
        <v>321</v>
      </c>
      <c r="C13" s="8" t="s">
        <v>322</v>
      </c>
    </row>
    <row r="14" spans="1:3" x14ac:dyDescent="0.15">
      <c r="A14" s="8" t="s">
        <v>323</v>
      </c>
      <c r="B14" s="8" t="s">
        <v>324</v>
      </c>
      <c r="C14" s="8" t="s">
        <v>325</v>
      </c>
    </row>
    <row r="15" spans="1:3" x14ac:dyDescent="0.15">
      <c r="A15" s="8" t="s">
        <v>326</v>
      </c>
      <c r="B15" s="8" t="s">
        <v>267</v>
      </c>
      <c r="C15" s="8" t="s">
        <v>327</v>
      </c>
    </row>
    <row r="16" spans="1:3" x14ac:dyDescent="0.15">
      <c r="A16" s="8" t="s">
        <v>328</v>
      </c>
      <c r="B16" s="8" t="s">
        <v>329</v>
      </c>
      <c r="C16" s="8" t="s">
        <v>330</v>
      </c>
    </row>
    <row r="17" spans="1:3" x14ac:dyDescent="0.15">
      <c r="A17" s="8" t="s">
        <v>331</v>
      </c>
      <c r="B17" s="8" t="s">
        <v>332</v>
      </c>
      <c r="C17" s="8" t="s">
        <v>333</v>
      </c>
    </row>
    <row r="18" spans="1:3" x14ac:dyDescent="0.15">
      <c r="A18" s="8" t="s">
        <v>334</v>
      </c>
      <c r="B18" s="8" t="s">
        <v>335</v>
      </c>
      <c r="C18" s="8" t="s">
        <v>336</v>
      </c>
    </row>
    <row r="19" spans="1:3" x14ac:dyDescent="0.15">
      <c r="A19" s="8" t="s">
        <v>337</v>
      </c>
      <c r="B19" s="8" t="s">
        <v>267</v>
      </c>
      <c r="C19" s="8" t="s">
        <v>338</v>
      </c>
    </row>
    <row r="20" spans="1:3" ht="25.5" x14ac:dyDescent="0.15">
      <c r="A20" s="8" t="s">
        <v>339</v>
      </c>
      <c r="B20" s="8" t="s">
        <v>340</v>
      </c>
      <c r="C20" s="8" t="s">
        <v>341</v>
      </c>
    </row>
    <row r="21" spans="1:3" ht="25.5" x14ac:dyDescent="0.15">
      <c r="A21" s="8" t="s">
        <v>342</v>
      </c>
      <c r="B21" s="8" t="s">
        <v>343</v>
      </c>
      <c r="C21" s="8" t="s">
        <v>344</v>
      </c>
    </row>
    <row r="23" spans="1:3" ht="15" x14ac:dyDescent="0.25">
      <c r="A23" s="18" t="s">
        <v>345</v>
      </c>
    </row>
    <row r="24" spans="1:3" ht="14.25" x14ac:dyDescent="0.2">
      <c r="A24" s="19" t="s">
        <v>297</v>
      </c>
      <c r="B24" s="19" t="s">
        <v>98</v>
      </c>
      <c r="C24" s="19" t="s">
        <v>346</v>
      </c>
    </row>
    <row r="25" spans="1:3" x14ac:dyDescent="0.15">
      <c r="A25" s="8" t="s">
        <v>347</v>
      </c>
      <c r="B25" s="8" t="s">
        <v>115</v>
      </c>
      <c r="C25" s="8" t="s">
        <v>348</v>
      </c>
    </row>
    <row r="26" spans="1:3" x14ac:dyDescent="0.15">
      <c r="A26" s="8" t="s">
        <v>349</v>
      </c>
      <c r="B26" s="8" t="s">
        <v>176</v>
      </c>
      <c r="C26" s="8" t="s">
        <v>350</v>
      </c>
    </row>
    <row r="27" spans="1:3" x14ac:dyDescent="0.15">
      <c r="A27" s="8" t="s">
        <v>351</v>
      </c>
      <c r="B27" s="8" t="s">
        <v>166</v>
      </c>
      <c r="C27" s="8" t="s">
        <v>352</v>
      </c>
    </row>
    <row r="28" spans="1:3" x14ac:dyDescent="0.15">
      <c r="A28" s="8" t="s">
        <v>353</v>
      </c>
      <c r="B28" s="8" t="s">
        <v>354</v>
      </c>
      <c r="C28" s="8" t="s">
        <v>355</v>
      </c>
    </row>
    <row r="29" spans="1:3" x14ac:dyDescent="0.15">
      <c r="A29" s="8" t="s">
        <v>356</v>
      </c>
      <c r="B29" s="8" t="s">
        <v>305</v>
      </c>
      <c r="C29" s="8" t="s">
        <v>253</v>
      </c>
    </row>
    <row r="30" spans="1:3" x14ac:dyDescent="0.15">
      <c r="A30" s="8" t="s">
        <v>357</v>
      </c>
      <c r="B30" s="8" t="s">
        <v>189</v>
      </c>
      <c r="C30" s="8" t="s">
        <v>358</v>
      </c>
    </row>
    <row r="31" spans="1:3" x14ac:dyDescent="0.15">
      <c r="A31" s="8" t="s">
        <v>359</v>
      </c>
      <c r="B31" s="8" t="s">
        <v>280</v>
      </c>
      <c r="C31" s="8" t="s">
        <v>360</v>
      </c>
    </row>
    <row r="33" spans="1:3" ht="15" x14ac:dyDescent="0.25">
      <c r="A33" s="18" t="s">
        <v>361</v>
      </c>
    </row>
    <row r="34" spans="1:3" ht="14.25" x14ac:dyDescent="0.2">
      <c r="A34" s="19" t="s">
        <v>362</v>
      </c>
      <c r="B34" s="19" t="s">
        <v>363</v>
      </c>
      <c r="C34" s="19" t="s">
        <v>364</v>
      </c>
    </row>
    <row r="35" spans="1:3" x14ac:dyDescent="0.15">
      <c r="A35" s="20"/>
      <c r="B35" s="20"/>
      <c r="C35" s="20"/>
    </row>
    <row r="36" spans="1:3" x14ac:dyDescent="0.15">
      <c r="A36" s="20"/>
      <c r="B36" s="20"/>
      <c r="C36" s="20"/>
    </row>
    <row r="37" spans="1:3" x14ac:dyDescent="0.15">
      <c r="A37" s="20"/>
      <c r="B37" s="20"/>
      <c r="C37" s="20"/>
    </row>
    <row r="38" spans="1:3" x14ac:dyDescent="0.15">
      <c r="A38" s="20"/>
      <c r="B38" s="20"/>
      <c r="C38" s="20"/>
    </row>
    <row r="39" spans="1:3" x14ac:dyDescent="0.15">
      <c r="A39" s="20"/>
      <c r="B39" s="20"/>
      <c r="C39" s="20"/>
    </row>
    <row r="40" spans="1:3" x14ac:dyDescent="0.15">
      <c r="A40" s="20"/>
      <c r="B40" s="20"/>
      <c r="C40" s="20"/>
    </row>
  </sheetData>
  <phoneticPr fontId="9"/>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Read me</vt:lpstr>
      <vt:lpstr>Checklist</vt:lpstr>
      <vt:lpstr>Summary</vt:lpstr>
      <vt:lpstr>Known issues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コンスタンティン ミハイロフ</cp:lastModifiedBy>
  <dcterms:created xsi:type="dcterms:W3CDTF">2026-10-22T16:20:35Z</dcterms:created>
  <dcterms:modified xsi:type="dcterms:W3CDTF">2026-10-23T15:24:00Z</dcterms:modified>
</cp:coreProperties>
</file>