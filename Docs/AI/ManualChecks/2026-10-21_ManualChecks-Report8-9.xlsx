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Lesson\FallenStar-Spellcasters\Docs\AI\ManualChecks\"/>
    </mc:Choice>
  </mc:AlternateContent>
  <xr:revisionPtr revIDLastSave="0" documentId="13_ncr:1_{1B39692C-5681-4A56-9DB3-A2A632A8FFFE}" xr6:coauthVersionLast="47" xr6:coauthVersionMax="47" xr10:uidLastSave="{00000000-0000-0000-0000-000000000000}"/>
  <bookViews>
    <workbookView xWindow="-105" yWindow="11640" windowWidth="19410" windowHeight="11745" activeTab="1" xr2:uid="{00000000-000D-0000-FFFF-FFFF00000000}"/>
  </bookViews>
  <sheets>
    <sheet name="Read me" sheetId="1" r:id="rId1"/>
    <sheet name="Checklist" sheetId="2" r:id="rId2"/>
    <sheet name="Summary" sheetId="3" r:id="rId3"/>
    <sheet name="Temp changes" sheetId="4" r:id="rId4"/>
    <sheet name="Known issues" sheetId="5" r:id="rId5"/>
  </sheets>
  <definedNames>
    <definedName name="_xlnm._FilterDatabase" localSheetId="1" hidden="1">Checklist!$A$3:$N$65</definedName>
    <definedName name="_xlnm.Print_Titles" localSheetId="1">Checklist!$3:$3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4" l="1"/>
  <c r="L39" i="3"/>
  <c r="J39" i="3"/>
  <c r="I39" i="3"/>
  <c r="H39" i="3"/>
  <c r="G39" i="3"/>
  <c r="F39" i="3"/>
  <c r="E39" i="3"/>
  <c r="L38" i="3"/>
  <c r="J38" i="3"/>
  <c r="I38" i="3"/>
  <c r="H38" i="3"/>
  <c r="G38" i="3"/>
  <c r="F38" i="3"/>
  <c r="E38" i="3"/>
  <c r="L37" i="3"/>
  <c r="J37" i="3"/>
  <c r="I37" i="3"/>
  <c r="H37" i="3"/>
  <c r="G37" i="3"/>
  <c r="F37" i="3"/>
  <c r="E37" i="3"/>
  <c r="L32" i="3"/>
  <c r="J32" i="3"/>
  <c r="I32" i="3"/>
  <c r="H32" i="3"/>
  <c r="G32" i="3"/>
  <c r="F32" i="3"/>
  <c r="E32" i="3"/>
  <c r="L31" i="3"/>
  <c r="J31" i="3"/>
  <c r="I31" i="3"/>
  <c r="H31" i="3"/>
  <c r="G31" i="3"/>
  <c r="F31" i="3"/>
  <c r="E31" i="3"/>
  <c r="L30" i="3"/>
  <c r="J30" i="3"/>
  <c r="I30" i="3"/>
  <c r="H30" i="3"/>
  <c r="G30" i="3"/>
  <c r="F30" i="3"/>
  <c r="E30" i="3"/>
  <c r="L29" i="3"/>
  <c r="J29" i="3"/>
  <c r="I29" i="3"/>
  <c r="H29" i="3"/>
  <c r="G29" i="3"/>
  <c r="F29" i="3"/>
  <c r="E29" i="3"/>
  <c r="L28" i="3"/>
  <c r="J28" i="3"/>
  <c r="I28" i="3"/>
  <c r="H28" i="3"/>
  <c r="G28" i="3"/>
  <c r="F28" i="3"/>
  <c r="E28" i="3"/>
  <c r="L27" i="3"/>
  <c r="J27" i="3"/>
  <c r="I27" i="3"/>
  <c r="H27" i="3"/>
  <c r="G27" i="3"/>
  <c r="F27" i="3"/>
  <c r="E27" i="3"/>
  <c r="L26" i="3"/>
  <c r="J26" i="3"/>
  <c r="I26" i="3"/>
  <c r="H26" i="3"/>
  <c r="G26" i="3"/>
  <c r="F26" i="3"/>
  <c r="E26" i="3"/>
  <c r="L25" i="3"/>
  <c r="J25" i="3"/>
  <c r="I25" i="3"/>
  <c r="H25" i="3"/>
  <c r="G25" i="3"/>
  <c r="F25" i="3"/>
  <c r="E25" i="3"/>
  <c r="L24" i="3"/>
  <c r="J24" i="3"/>
  <c r="I24" i="3"/>
  <c r="H24" i="3"/>
  <c r="G24" i="3"/>
  <c r="F24" i="3"/>
  <c r="E24" i="3"/>
  <c r="L23" i="3"/>
  <c r="J23" i="3"/>
  <c r="I23" i="3"/>
  <c r="H23" i="3"/>
  <c r="G23" i="3"/>
  <c r="F23" i="3"/>
  <c r="E23" i="3"/>
  <c r="L22" i="3"/>
  <c r="J22" i="3"/>
  <c r="I22" i="3"/>
  <c r="H22" i="3"/>
  <c r="G22" i="3"/>
  <c r="F22" i="3"/>
  <c r="E22" i="3"/>
  <c r="L21" i="3"/>
  <c r="J21" i="3"/>
  <c r="I21" i="3"/>
  <c r="H21" i="3"/>
  <c r="G21" i="3"/>
  <c r="F21" i="3"/>
  <c r="E21" i="3"/>
  <c r="L20" i="3"/>
  <c r="J20" i="3"/>
  <c r="I20" i="3"/>
  <c r="H20" i="3"/>
  <c r="G20" i="3"/>
  <c r="F20" i="3"/>
  <c r="E20" i="3"/>
  <c r="L19" i="3"/>
  <c r="J19" i="3"/>
  <c r="I19" i="3"/>
  <c r="H19" i="3"/>
  <c r="G19" i="3"/>
  <c r="F19" i="3"/>
  <c r="E19" i="3"/>
  <c r="L18" i="3"/>
  <c r="J18" i="3"/>
  <c r="I18" i="3"/>
  <c r="H18" i="3"/>
  <c r="G18" i="3"/>
  <c r="F18" i="3"/>
  <c r="E18" i="3"/>
  <c r="L17" i="3"/>
  <c r="J17" i="3"/>
  <c r="I17" i="3"/>
  <c r="H17" i="3"/>
  <c r="G17" i="3"/>
  <c r="F17" i="3"/>
  <c r="E17" i="3"/>
  <c r="L16" i="3"/>
  <c r="J16" i="3"/>
  <c r="I16" i="3"/>
  <c r="H16" i="3"/>
  <c r="G16" i="3"/>
  <c r="F16" i="3"/>
  <c r="E16" i="3"/>
  <c r="L15" i="3"/>
  <c r="J15" i="3"/>
  <c r="I15" i="3"/>
  <c r="H15" i="3"/>
  <c r="G15" i="3"/>
  <c r="F15" i="3"/>
  <c r="E15" i="3"/>
  <c r="L14" i="3"/>
  <c r="J14" i="3"/>
  <c r="I14" i="3"/>
  <c r="H14" i="3"/>
  <c r="G14" i="3"/>
  <c r="F14" i="3"/>
  <c r="E14" i="3"/>
  <c r="L13" i="3"/>
  <c r="J13" i="3"/>
  <c r="I13" i="3"/>
  <c r="H13" i="3"/>
  <c r="G13" i="3"/>
  <c r="F13" i="3"/>
  <c r="E13" i="3"/>
  <c r="L12" i="3"/>
  <c r="J12" i="3"/>
  <c r="I12" i="3"/>
  <c r="H12" i="3"/>
  <c r="G12" i="3"/>
  <c r="F12" i="3"/>
  <c r="E12" i="3"/>
  <c r="L11" i="3"/>
  <c r="J11" i="3"/>
  <c r="I11" i="3"/>
  <c r="H11" i="3"/>
  <c r="G11" i="3"/>
  <c r="F11" i="3"/>
  <c r="E11" i="3"/>
  <c r="L10" i="3"/>
  <c r="J10" i="3"/>
  <c r="I10" i="3"/>
  <c r="H10" i="3"/>
  <c r="G10" i="3"/>
  <c r="F10" i="3"/>
  <c r="E10" i="3"/>
  <c r="L9" i="3"/>
  <c r="J9" i="3"/>
  <c r="I9" i="3"/>
  <c r="H9" i="3"/>
  <c r="G9" i="3"/>
  <c r="F9" i="3"/>
  <c r="E9" i="3"/>
  <c r="L8" i="3"/>
  <c r="J8" i="3"/>
  <c r="I8" i="3"/>
  <c r="H8" i="3"/>
  <c r="G8" i="3"/>
  <c r="F8" i="3"/>
  <c r="E8" i="3"/>
  <c r="L7" i="3"/>
  <c r="J7" i="3"/>
  <c r="I7" i="3"/>
  <c r="H7" i="3"/>
  <c r="G7" i="3"/>
  <c r="F7" i="3"/>
  <c r="E7" i="3"/>
  <c r="L6" i="3"/>
  <c r="J6" i="3"/>
  <c r="I6" i="3"/>
  <c r="H6" i="3"/>
  <c r="G6" i="3"/>
  <c r="F6" i="3"/>
  <c r="E6" i="3"/>
  <c r="L5" i="3"/>
  <c r="J5" i="3"/>
  <c r="I5" i="3"/>
  <c r="H5" i="3"/>
  <c r="G5" i="3"/>
  <c r="F5" i="3"/>
  <c r="F33" i="3" s="1"/>
  <c r="E5" i="3"/>
  <c r="K30" i="3" l="1"/>
  <c r="K29" i="3"/>
  <c r="K12" i="3"/>
  <c r="N22" i="3"/>
  <c r="J33" i="3"/>
  <c r="N19" i="3"/>
  <c r="N10" i="3"/>
  <c r="N27" i="3"/>
  <c r="M30" i="3"/>
  <c r="N28" i="3"/>
  <c r="K18" i="3"/>
  <c r="N17" i="3"/>
  <c r="M11" i="3"/>
  <c r="N39" i="3"/>
  <c r="N37" i="3"/>
  <c r="N25" i="3"/>
  <c r="N38" i="3"/>
  <c r="N32" i="3"/>
  <c r="N31" i="3"/>
  <c r="N23" i="3"/>
  <c r="N18" i="3"/>
  <c r="M12" i="3"/>
  <c r="N26" i="3"/>
  <c r="N20" i="3"/>
  <c r="N16" i="3"/>
  <c r="N13" i="3"/>
  <c r="N14" i="3"/>
  <c r="N8" i="3"/>
  <c r="N15" i="3"/>
  <c r="K11" i="3"/>
  <c r="N30" i="3"/>
  <c r="N29" i="3"/>
  <c r="N24" i="3"/>
  <c r="N21" i="3"/>
  <c r="N12" i="3"/>
  <c r="G33" i="3"/>
  <c r="M29" i="3"/>
  <c r="M18" i="3"/>
  <c r="N9" i="3"/>
  <c r="N6" i="3"/>
  <c r="N7" i="3"/>
  <c r="N11" i="3"/>
  <c r="L33" i="3"/>
  <c r="I33" i="3"/>
  <c r="K15" i="3"/>
  <c r="M15" i="3"/>
  <c r="M39" i="3"/>
  <c r="K39" i="3"/>
  <c r="M38" i="3"/>
  <c r="K38" i="3"/>
  <c r="M37" i="3"/>
  <c r="K37" i="3"/>
  <c r="M32" i="3"/>
  <c r="K32" i="3"/>
  <c r="M31" i="3"/>
  <c r="K31" i="3"/>
  <c r="M28" i="3"/>
  <c r="K28" i="3"/>
  <c r="M27" i="3"/>
  <c r="K27" i="3"/>
  <c r="K26" i="3"/>
  <c r="M26" i="3"/>
  <c r="M25" i="3"/>
  <c r="K25" i="3"/>
  <c r="M24" i="3"/>
  <c r="K24" i="3"/>
  <c r="M23" i="3"/>
  <c r="K23" i="3"/>
  <c r="M22" i="3"/>
  <c r="K22" i="3"/>
  <c r="M21" i="3"/>
  <c r="K21" i="3"/>
  <c r="M20" i="3"/>
  <c r="K20" i="3"/>
  <c r="K19" i="3"/>
  <c r="M19" i="3"/>
  <c r="K17" i="3"/>
  <c r="M17" i="3"/>
  <c r="M16" i="3"/>
  <c r="K16" i="3"/>
  <c r="M14" i="3"/>
  <c r="K14" i="3"/>
  <c r="M13" i="3"/>
  <c r="K13" i="3"/>
  <c r="K10" i="3"/>
  <c r="M10" i="3"/>
  <c r="M9" i="3"/>
  <c r="K9" i="3"/>
  <c r="M8" i="3"/>
  <c r="K8" i="3"/>
  <c r="M7" i="3"/>
  <c r="K7" i="3"/>
  <c r="M6" i="3"/>
  <c r="K6" i="3"/>
  <c r="H33" i="3"/>
  <c r="N5" i="3"/>
  <c r="E33" i="3"/>
  <c r="K5" i="3"/>
  <c r="M5" i="3"/>
  <c r="N33" i="3" l="1"/>
  <c r="K33" i="3"/>
  <c r="M33" i="3"/>
  <c r="E41" i="3"/>
</calcChain>
</file>

<file path=xl/sharedStrings.xml><?xml version="1.0" encoding="utf-8"?>
<sst xmlns="http://schemas.openxmlformats.org/spreadsheetml/2006/main" count="1050" uniqueCount="502">
  <si>
    <t>Manual two-player checklist: Issue Reports #8 and #9</t>
  </si>
  <si>
    <t>About</t>
  </si>
  <si>
    <t>Date / baseline</t>
  </si>
  <si>
    <t>2026-10-21. HEAD = 391e079 plus the uncommitted working tree: report #8's tasks (L1, L2/N31, N30, N17, L6, L7, L9, L10, N28) and UI1–UI4. Line numbers are from the working tree.</t>
  </si>
  <si>
    <t>Sources</t>
  </si>
  <si>
    <t>Issue Report #8 §4 (its groups A–C) and Issue Report #9 §4 (UI1–UI4 and U14): Docs/AI/Reports/2026-10-20_IssueReport-8.md and 2026-10-21_IssueReport-9.md. Also §9 of TASK-UI1…UI4 (Docs/AI/Tasks/) and Codex's report 2026-10-21_UI1_UI2_UI3_UI4_Implementation.md §6.</t>
  </si>
  <si>
    <t>Why</t>
  </si>
  <si>
    <t>None of report #8's 19 tasks and none of UI1–UI4 has been checked by eye in a two-player match. Codex's harnesses and one clone-Editor match today found no errors, but they can't judge how the HUD and menus look. These checks are the last step before committing the working tree.</t>
  </si>
  <si>
    <t>Who runs it</t>
  </si>
  <si>
    <t>The developer: groups A–C in the Unity Editor with the ParrelSync clone, group D with the Windows player build. The AI agents can't run two instances or judge visuals.</t>
  </si>
  <si>
    <t>Order</t>
  </si>
  <si>
    <t>A first: no changes, and it covers most of report #8. Then B: only the main Editor's Game view size changes. Then C: temporary changes, revert them on the Temp changes sheet. D (player build) last, after every revert.</t>
  </si>
  <si>
    <t>How to report</t>
  </si>
  <si>
    <t>1. Set Status on every row of the Checklist sheet. The Summary sheet updates by itself.
2. For every Fail, paste the Console text (error plus stack trace) into 'Console output / notes'. For a visual Fail, save a screenshot and write its file name there. Clear on Play is on, so copy the Console before you press Play again.
3. Tell Claude when you're done. Claude then updates the report and writes fix specs if needed.</t>
  </si>
  <si>
    <t>Legend</t>
  </si>
  <si>
    <t>Cells to fill in</t>
  </si>
  <si>
    <t>Only the yellow cells: Checklist → Status, Tested by, Date, Console output / notes; Temp changes → Applied, Reverted. Everything else is reference text or formulas.</t>
  </si>
  <si>
    <t>Pass</t>
  </si>
  <si>
    <t>Every expected result in the row was seen.</t>
  </si>
  <si>
    <t>Fail</t>
  </si>
  <si>
    <t>At least one expected result wasn't seen, or a new error appeared. Add the Console text or a screenshot name.</t>
  </si>
  <si>
    <t>Blocked</t>
  </si>
  <si>
    <t>The row couldn't be run (e.g. an earlier failure, the card never drawn, network needed). Say why in the notes.</t>
  </si>
  <si>
    <t>Not run</t>
  </si>
  <si>
    <t>Skipped on purpose. Fine for optional rows; for a required row it keeps the group open.</t>
  </si>
  <si>
    <t>N/A</t>
  </si>
  <si>
    <t>Doesn't apply in this setup. Counts like a Pass for the group result.</t>
  </si>
  <si>
    <t>Optional = Yes</t>
  </si>
  <si>
    <t>Optional rows don't hold back a group's Pass result.</t>
  </si>
  <si>
    <t>Grey text</t>
  </si>
  <si>
    <t>In a group's second and later rows, Check / Covers / Report / Run as / Temp change repeat the first row so that filtering works. An empty 'Steps' cell means: same steps as the row above.</t>
  </si>
  <si>
    <t>Example of a filled row</t>
  </si>
  <si>
    <t>ID / Status</t>
  </si>
  <si>
    <t>B1.1  →  Fail</t>
  </si>
  <si>
    <t>Tested by / Date</t>
  </si>
  <si>
    <t>Host window  /  2026-10-22</t>
  </si>
  <si>
    <t>Console output / notes</t>
  </si>
  <si>
    <t>The opponent's respawn line ends with '…' in English. Screenshot: B1-1_en.png. Console: Announcer text truncated: &lt;paste the text here&gt;.</t>
  </si>
  <si>
    <t>Preparation</t>
  </si>
  <si>
    <t>1. Two Editors</t>
  </si>
  <si>
    <t>Open the main project. Open the clone with ParrelSync → Clones Manager → Open in New Editor. The clone shares Assets, so make every temporary change in the main project only.</t>
  </si>
  <si>
    <t>2. Console</t>
  </si>
  <si>
    <t>In both Editors, open the Console: Collapse off, Clear on Play on.</t>
  </si>
  <si>
    <t>3. Clean start</t>
  </si>
  <si>
    <t>git status shows no change to Assets/Prefab/GameMasterPrefab.prefab, and the mana gate in PlayerSession.cs:297-298 isn't commented out (Temp changes sheet). Both windows are in English (Main menu → Settings).</t>
  </si>
  <si>
    <t>4. Start a match</t>
  </si>
  <si>
    <t>Log in and go to the Lobby in both windows. Window 1 presses Create Lobby: from now on it's the host window. Window 2 finds the lobby, selects it and presses Join: it's the client window. The host presses Start game.</t>
  </si>
  <si>
    <t>5. Phase log</t>
  </si>
  <si>
    <t>GameMasterPrefab has m_debugMode = 1, so the host Console logs every phase: 'Round break phase started', 'DrawPhase started', 'Card selection phase started.', 'Player Action phase started', 'Waiting for Respawn', 'GameMaster: match ended …'.</t>
  </si>
  <si>
    <t>6. Game view sizes</t>
  </si>
  <si>
    <t>Main Editor → Game view → the size menu at the top → '+' → add Fixed Resolution presets: 2560×1600, 2560×1440, 1920×1080, 1366×768, 1024×768, 1280×1024, 3440×1440. If the Game view is smaller than a preset, Unity scales the picture down (Scale slider); that's fine for layout checks. The clone can stay at any size.</t>
  </si>
  <si>
    <t>Useful facts</t>
  </si>
  <si>
    <t>Phases (en)</t>
  </si>
  <si>
    <t>Line 1 of the announcer: 'Round preparation' (5 s; it still shows while cards are dealt), 'Card Selection' (60 s), 'Player action' (60 s per player), 'Waiting for respawn' (30 s). Since L1 the number counts down.</t>
  </si>
  <si>
    <t>Announcer line 2</t>
  </si>
  <si>
    <t>Player action: 'Current turn: red/blue player. Your turn' or '… Opponent's turn'. Waiting for respawn: 'Respawning: red/blue player. This is you' or '… This is the opponent'. The part after ': ' is in the player's colour.</t>
  </si>
  <si>
    <t>Turn order</t>
  </si>
  <si>
    <t>The player whose selected cards (play and discard) cost more goes first. To go second, select fewer or cheaper cards than the opponent.</t>
  </si>
  <si>
    <t>Controls</t>
  </si>
  <si>
    <t>Hand cards: left-click = play, right-click = discard. Confirm turn confirms the selection in Card Selection, ends your Player action, and confirms the respawn block in Waiting for respawn.
Cast in your Player action: left-click a board card → click the target in the world → Confirm → Send.
W/A/S/D = one step (own Player action only). Space = −10 HP to yourself (own Player action only; Editor and development builds only).</t>
  </si>
  <si>
    <t>Cards</t>
  </si>
  <si>
    <t>Iceshard: 2 mana, 20 damage to the opponent's pony. Fireball: 3 mana, 50 damage to an opponent block (2 hits destroy a block). Clarity: 3 mana, draw 2. HealingHooves: 4 mana, heal yourself 30; HP over 100 counts half.</t>
  </si>
  <si>
    <t>Numbers</t>
  </si>
  <si>
    <t>Pony HP 100, block HP 100, 3 lives, 25 blocks per player. Mana 2 → 4 → 6 … up to 20. 2 new cards per player per round. Hand limit 10: over it, the oldest uncommitted cards are discarded.</t>
  </si>
  <si>
    <t>Kill a pony at any moment</t>
  </si>
  <si>
    <t>In the host window's Scene view, select the pony (PonyBase(Clone)) and drag it sideways off its platform, or add about 20 to its Transform Position X or Z. It falls into the lava and dies, in any phase. Host window only: the lava check runs on the server.</t>
  </si>
  <si>
    <t>Respawn</t>
  </si>
  <si>
    <t>In 'Waiting for respawn', the dead player clicks one of their own blocks and presses Confirm turn. With no choice, a random block is used after 30 s.</t>
  </si>
  <si>
    <t>Switch language</t>
  </si>
  <si>
    <t>Main menu → Settings (remembered). In the lobby or during a match: Window → Asset Management → Localization Scene Controls → Active Locale.</t>
  </si>
  <si>
    <t>Player build</t>
  </si>
  <si>
    <t>C:\Lesson\Spellcasters.Build\FallenStar-Spellcasters.exe. Its log: %USERPROFILE%\AppData\LocalLow\DefaultCompany\FallenStar-Spellcasters\Player.log (moved to Player-prev.log at each start).
Window size from a terminal: -screen-fullscreen 0 -screen-width 1366 -screen-height 768. Unity remembers the last size; start once with -screen-fullscreen 1 -screen-width 2560 -screen-height 1600 to go back.</t>
  </si>
  <si>
    <t>Already seen today</t>
  </si>
  <si>
    <t>A clone-Editor match on 2026-10-21 reached the Result screen on this code with no script errors and no truncation warning. It doesn't replace these rows: a log can't show how anything looks.</t>
  </si>
  <si>
    <t>Changes from the last checklist (2026-10-20)</t>
  </si>
  <si>
    <t>IDs</t>
  </si>
  <si>
    <t>New numbering: A–D here aren't last round's A–D. Report #8's checks are in A, C2, C3 and D; report #9's in B, C1 and D.</t>
  </si>
  <si>
    <t>Timer</t>
  </si>
  <si>
    <t>It counts down now (L1). Last round's 'the timer counts up' no longer applies.</t>
  </si>
  <si>
    <t>Now fixed</t>
  </si>
  <si>
    <t>Several items from last round's Known issues sheet are fixed: N26 (old selection highlighted), N21 (late confirm), N17 (blank host HUD), N4 (CS0414). Mark the row Fail if you see them (Known issues sheet, second table).</t>
  </si>
  <si>
    <t>Your notes from last round</t>
  </si>
  <si>
    <t>The "NetworkVariable is written to …" warning you noted on A1.1 is N2; A1.1 here checks it's gone. The 'Key: Team Id' ArgumentException you found is L4; see A10.1.</t>
  </si>
  <si>
    <t>Baseline 391e079 plus the working tree (2026-10-21). Fill in only the yellow columns (Status, Tested by, Date, Console output / notes). Temp-change IDs (T1, T2) are on the Temp changes sheet; expected noise is on the Known issues sheet.</t>
  </si>
  <si>
    <t>ID</t>
  </si>
  <si>
    <t>Group</t>
  </si>
  <si>
    <t>Check</t>
  </si>
  <si>
    <t>Covers</t>
  </si>
  <si>
    <t>Report</t>
  </si>
  <si>
    <t>Run as</t>
  </si>
  <si>
    <t>Temp change</t>
  </si>
  <si>
    <t>Steps</t>
  </si>
  <si>
    <t>Expected result</t>
  </si>
  <si>
    <t>Optional</t>
  </si>
  <si>
    <t>Status</t>
  </si>
  <si>
    <t>Tested by</t>
  </si>
  <si>
    <t>Date</t>
  </si>
  <si>
    <t>A. Two Editors, normal settings (no temporary changes; any Game view size)</t>
  </si>
  <si>
    <t>A1.1</t>
  </si>
  <si>
    <t>A1</t>
  </si>
  <si>
    <t>Match start: no warning, HP from the first frame, input in its phase</t>
  </si>
  <si>
    <t>N2, N22, N3, L10</t>
  </si>
  <si>
    <t>#8</t>
  </si>
  <si>
    <t>Both</t>
  </si>
  <si>
    <t>—</t>
  </si>
  <si>
    <t>Start a match (Read me → Preparation). Watch both Consoles from Start game until the first Card Selection.</t>
  </si>
  <si>
    <t>Neither Console shows "NetworkVariable is written to, but doesn't know its NetworkBehaviour yet".</t>
  </si>
  <si>
    <t>A1.2</t>
  </si>
  <si>
    <t>The client window shows 'HP : 100' and 'Life : 3' from the first frame of the match, with no 0 flashing first. The host too.</t>
  </si>
  <si>
    <t>A1.3</t>
  </si>
  <si>
    <t>In your own Player action phase, press W/A/S/D once each, on the host and on the client. Then try in the opponent's phase.</t>
  </si>
  <si>
    <t>Your pony moves one step per key press on both windows. Outside your own phase, nothing moves.</t>
  </si>
  <si>
    <t>A1.4</t>
  </si>
  <si>
    <t>Card selection works in Card Selection, and board card + target selection works in your own Player action phase, on the host and on the client.</t>
  </si>
  <si>
    <t>A1.5</t>
  </si>
  <si>
    <t>No errors except the ones on the Known issues sheet.</t>
  </si>
  <si>
    <t>A2.1</t>
  </si>
  <si>
    <t>A2</t>
  </si>
  <si>
    <t>The countdown counts down and resumes after a respawn</t>
  </si>
  <si>
    <t>L1</t>
  </si>
  <si>
    <t>Play two rounds. Watch the number on the announcer's first line in both windows.</t>
  </si>
  <si>
    <t>It counts down: Round preparation from 5, Card Selection from 60, each Player action from 60.</t>
  </si>
  <si>
    <t>A2.2</t>
  </si>
  <si>
    <t>Both windows show the same number (±1) at any moment.</t>
  </si>
  <si>
    <t>A2.3</t>
  </si>
  <si>
    <t>In your own Player action phase, at about 40 left, die: press Space 10 times or walk off the platform edge. Wait about 10 s, pick a block and press Confirm turn.</t>
  </si>
  <si>
    <t>'Waiting for respawn' counts down from 30. After the respawn, your Player action continues from about 40, not from 60.</t>
  </si>
  <si>
    <t>A3.1</t>
  </si>
  <si>
    <t>A3</t>
  </si>
  <si>
    <t>An unconfirmed selection is cleared each round</t>
  </si>
  <si>
    <t>N26</t>
  </si>
  <si>
    <t>Either</t>
  </si>
  <si>
    <t>In Card Selection, left-click one card (play) and right-click another (discard), but don't press Confirm turn. Let the countdown run out.</t>
  </si>
  <si>
    <t>In the next round's Card Selection, no card is highlighted, and nothing was played or discarded.</t>
  </si>
  <si>
    <t>A3.2</t>
  </si>
  <si>
    <t>In Card Selection, select two cards. Then kill your pony through the host Scene view (Read me → Useful facts) and respawn.</t>
  </si>
  <si>
    <t>After the respawn, Card Selection continues and the two cards are still highlighted.</t>
  </si>
  <si>
    <t>A4.1</t>
  </si>
  <si>
    <t>A4</t>
  </si>
  <si>
    <t>A late confirm at the end of Card Selection is ignored</t>
  </si>
  <si>
    <t>N21</t>
  </si>
  <si>
    <t>Select cards but don't confirm. Press Confirm turn exactly as Card Selection reaches 0. Try 2–3 times.</t>
  </si>
  <si>
    <t>That press doesn't end or skip any Player action. The next phase starts normally. At match end the host Console shows no '[Suspicious] client … match summary' for that client (unless another row caused one).</t>
  </si>
  <si>
    <t>Yes</t>
  </si>
  <si>
    <t>A5.1</t>
  </si>
  <si>
    <t>A5</t>
  </si>
  <si>
    <t>A kill with the first card ends the match at once</t>
  </si>
  <si>
    <t>N6</t>
  </si>
  <si>
    <t>Host (Scene view)</t>
  </si>
  <si>
    <t>Bring the opponent to their last life with 20 HP or less: kill their pony twice through the host Scene view (respawning each time, lives 3 → 1), then in their own Player action they press Space 8 times. In a round with at least 4 mana, select Iceshard plus another card to play and confirm. In your Player action, click Iceshard on the board, click the opponent's pony, press Confirm, then Send.</t>
  </si>
  <si>
    <t>The opponent dies and the match ends at once: no 'Waiting for respawn', and your other board card is not resolved.</t>
  </si>
  <si>
    <t>A5.2</t>
  </si>
  <si>
    <t>Both windows go to the Result screen: Victory on yours, Defeat on theirs. No exception.</t>
  </si>
  <si>
    <t>A6.1</t>
  </si>
  <si>
    <t>A6</t>
  </si>
  <si>
    <t>Leave match: Cancel, then Confirm (host HUD kept)</t>
  </si>
  <si>
    <t>N17, N19, UI3</t>
  </si>
  <si>
    <t>#8 + #9</t>
  </si>
  <si>
    <t>During a Player action, the client presses Leave match → Cancel.</t>
  </si>
  <si>
    <t>The dark confirm panel covers the whole Game view; Cancel closes it and the match continues.</t>
  </si>
  <si>
    <t>A6.2</t>
  </si>
  <si>
    <t>The client presses Leave match → Leave.</t>
  </si>
  <si>
    <t>The host's HUD stays visible (not blank) until the host's Result screen, which shows Victory. The client's Result shows Defeat.</t>
  </si>
  <si>
    <t>A7.1</t>
  </si>
  <si>
    <t>A7</t>
  </si>
  <si>
    <t>HealingHooves heal values</t>
  </si>
  <si>
    <t>L10</t>
  </si>
  <si>
    <t>Get HealingHooves (4 mana, round 2 or later). At full HP, play it on yourself.</t>
  </si>
  <si>
    <t>HP goes 100 → 115.</t>
  </si>
  <si>
    <t>A7.2</t>
  </si>
  <si>
    <t>In a later round, press Space 5 times in your own Player action (HP 50), then play HealingHooves on yourself.</t>
  </si>
  <si>
    <t>HP goes 50 → 80.</t>
  </si>
  <si>
    <t>A8.1</t>
  </si>
  <si>
    <t>A8</t>
  </si>
  <si>
    <t>Card texts follow a language switch during a match</t>
  </si>
  <si>
    <t>L7</t>
  </si>
  <si>
    <t>During a match with cards in hand and on the board: Window → Asset Management → Localization Scene Controls → Active Locale: English → Russian → Japanese.</t>
  </si>
  <si>
    <t>Hand card and world card names and descriptions switch language each time.</t>
  </si>
  <si>
    <t>A8.2</t>
  </si>
  <si>
    <t>Play or destroy some cards, then switch the language again.</t>
  </si>
  <si>
    <t>No MissingReferenceException in either Console.</t>
  </si>
  <si>
    <t>A9.1</t>
  </si>
  <si>
    <t>A9</t>
  </si>
  <si>
    <t>Lobby: Refresh label and 5 create/join/start/leave cycles</t>
  </si>
  <si>
    <t>N30, L8</t>
  </si>
  <si>
    <t>In the lobby list, switch the language en → ru → ja (Main menu → Settings).</t>
  </si>
  <si>
    <t>The refresh button reads 'Refresh Lobby', 'Обновить лобби', 'ロビー更新'.</t>
  </si>
  <si>
    <t>A9.2</t>
  </si>
  <si>
    <t>5 cycles with the main Editor as host: create a lobby, the clone joins, Start game, then leave (Leave match, or Result → menu) and repeat.</t>
  </si>
  <si>
    <t>No TryCatchRequest NullReferenceException. The player count and the Start button follow each join and leave within about 2 s.</t>
  </si>
  <si>
    <t>A10.1</t>
  </si>
  <si>
    <t>A10</t>
  </si>
  <si>
    <t>No 'Team Id' exception after selecting a block</t>
  </si>
  <si>
    <t>L4</t>
  </si>
  <si>
    <t>Host</t>
  </si>
  <si>
    <t>During a match, select a block (BlockBody(Clone)) in the main Editor's Hierarchy. Click another app, then back into Unity. Exit Play Mode.</t>
  </si>
  <si>
    <t>No "ArgumentException: An item with the same key has already been added. Key: Team Id".</t>
  </si>
  <si>
    <t>A11.1</t>
  </si>
  <si>
    <t>A11</t>
  </si>
  <si>
    <t>No per-frame allocations or searches (Profiler)</t>
  </si>
  <si>
    <t>L6</t>
  </si>
  <si>
    <t>Window → Analysis → Profiler → CPU Usage → Hierarchy, sort by GC Alloc. Record a few seconds during a Player action.</t>
  </si>
  <si>
    <t>GameAnnouncerUI.Update allocates 0 B in frames where the shown second doesn't change.</t>
  </si>
  <si>
    <t>A11.2</t>
  </si>
  <si>
    <t>Let the client leave (Leave match → Leave) and record on the host until its Result screen.</t>
  </si>
  <si>
    <t>CardWorldViewManager.Update doesn't call FindObjectsByType every frame.</t>
  </si>
  <si>
    <t>B. HUD and menus at several resolutions (main Editor's Game view; no changes)</t>
  </si>
  <si>
    <t>B1.1</t>
  </si>
  <si>
    <t>B1</t>
  </si>
  <si>
    <t>Announcer shows both lines in full, undistorted</t>
  </si>
  <si>
    <t>UI1, N37, N38, N41</t>
  </si>
  <si>
    <t>#9</t>
  </si>
  <si>
    <t>Game view 2560×1600 (Read me → Game view sizes). Play in English: your Player action, the opponent's, your respawn, the opponent's respawn.</t>
  </si>
  <si>
    <t>Line 2 is complete, with ': ' and no '…': 'Current turn: red player. Your turn' / '… Opponent's turn', 'Respawning: blue player. This is you' / '… This is the opponent'.</t>
  </si>
  <si>
    <t>B1.2</t>
  </si>
  <si>
    <t>Same in Russian.</t>
  </si>
  <si>
    <t>'Сейчас ходит: … игрок. Ваш ход / Ход оппонента' and 'Возрождается: … игрок. Это вы / Это оппонент', complete.</t>
  </si>
  <si>
    <t>B1.3</t>
  </si>
  <si>
    <t>Same in Japanese.</t>
  </si>
  <si>
    <t>'現在の手番：…プレイヤー。あなたの番です / 相手の番です' and '復活待ち：…プレイヤー。あなたです / 相手です', complete.</t>
  </si>
  <si>
    <t>B1.4</t>
  </si>
  <si>
    <t>Round letters (o, о, の) look round, not like wide ovals. No 'Announcer text truncated' warning in the Console.</t>
  </si>
  <si>
    <t>B2.1</t>
  </si>
  <si>
    <t>B2</t>
  </si>
  <si>
    <t>HUD at 2560×1600 is where it was before</t>
  </si>
  <si>
    <t>UI3, N41</t>
  </si>
  <si>
    <t>Game view 2560×1600. Compare the match HUD with how it looked before (old screenshots, or memory).</t>
  </si>
  <si>
    <t>HP, Life and mana top-right; Confirm, Send and Confirm turn bottom-right; Leave top-left; the banner top-centre; the hand bottom-centre: all in the same places. Only the banner's rounded corners and the Confirm-turn label look different (no longer stretched).</t>
  </si>
  <si>
    <t>B3.1</t>
  </si>
  <si>
    <t>B3</t>
  </si>
  <si>
    <t>HUD follows the edges at other aspect ratios</t>
  </si>
  <si>
    <t>UI3, N40</t>
  </si>
  <si>
    <t>Game view 2560×1440 (16:9), during a match.</t>
  </si>
  <si>
    <t>HP/Life/mana keep their distance from the top-right corner, the buttons from the bottom-right, Leave stays top-left. The banner, announcer and hand are centred. Nothing is cut.</t>
  </si>
  <si>
    <t>B3.2</t>
  </si>
  <si>
    <t>Game view 3440×1440 (21:9).</t>
  </si>
  <si>
    <t>Same as B3.1.</t>
  </si>
  <si>
    <t>B3.3</t>
  </si>
  <si>
    <t>Game view 1024×768 (4:3). Also press Leave match, then Cancel.</t>
  </si>
  <si>
    <t>Same as B3.1, with a smaller HUD. The dark Leave panel covers the whole view.</t>
  </si>
  <si>
    <t>B4.1</t>
  </si>
  <si>
    <t>B4</t>
  </si>
  <si>
    <t>Card preview stays on screen</t>
  </si>
  <si>
    <t>UI4, N43</t>
  </si>
  <si>
    <t>Game view 2560×1600. Click world cards on the board near each edge and corner, and one in the middle.</t>
  </si>
  <si>
    <t>The preview is fully visible every time. In the middle it's centred on the mouse.</t>
  </si>
  <si>
    <t>B4.2</t>
  </si>
  <si>
    <t>Same at 1920×1080.</t>
  </si>
  <si>
    <t>Same as B4.1.</t>
  </si>
  <si>
    <t>B4.3</t>
  </si>
  <si>
    <t>Same at 1024×768.</t>
  </si>
  <si>
    <t>B5.1</t>
  </si>
  <si>
    <t>B5</t>
  </si>
  <si>
    <t>Russian Confirm label fits its button</t>
  </si>
  <si>
    <t>UI4, N44</t>
  </si>
  <si>
    <t>Russian. In your Player action, select a board card and a target so the Confirm button is shown.</t>
  </si>
  <si>
    <t>'Подтвердить' is inside the button and readable. In en 'Confirm' and in ja '確認' look as before.</t>
  </si>
  <si>
    <t>B6.1</t>
  </si>
  <si>
    <t>B6</t>
  </si>
  <si>
    <t>Menus are never cut; Login background fills</t>
  </si>
  <si>
    <t>UI2, N39, N42</t>
  </si>
  <si>
    <t>Main Editor</t>
  </si>
  <si>
    <t>Game view 1366×768. Visit Login, Main menu, Settings (open the language dropdown), Lobby (create a lobby; select a lobby in the list) and Result (end any match).</t>
  </si>
  <si>
    <t>Nothing is cut or off-screen. The Login background fills the view with no bands and isn't stretched.</t>
  </si>
  <si>
    <t>B6.2</t>
  </si>
  <si>
    <t>Same at 1024×768 and at 1280×1024.</t>
  </si>
  <si>
    <t>Same as B6.1.</t>
  </si>
  <si>
    <t>B6.3</t>
  </si>
  <si>
    <t>Same at 3440×1440.</t>
  </si>
  <si>
    <t>Same as B6.1. The Login background is cropped at the top and bottom, which is expected.</t>
  </si>
  <si>
    <t>B7.1</t>
  </si>
  <si>
    <t>B7</t>
  </si>
  <si>
    <t>The board is fully visible at 4:3</t>
  </si>
  <si>
    <t>U14</t>
  </si>
  <si>
    <t>Game view 1024×768 during a match. Look at the board and both player areas.</t>
  </si>
  <si>
    <t>The whole board and both player areas are visible. If something is cut, mark Fail and save a screenshot: it becomes a camera task.</t>
  </si>
  <si>
    <t>C. Temporary changes (revert them on the Temp changes sheet)</t>
  </si>
  <si>
    <t>C1.1</t>
  </si>
  <si>
    <t>C1</t>
  </si>
  <si>
    <t>Ten-card hand: centred, clickable, clear of the buttons, no jump</t>
  </si>
  <si>
    <t>UI3, N45, N46</t>
  </si>
  <si>
    <t>T1</t>
  </si>
  <si>
    <t>Apply T1 (10 cards per deal). Game view 2560×1600. Start a match: after the first deal each hand has 10 cards.</t>
  </si>
  <si>
    <t>All 10 cards are visible and centred, slightly overlapping. None is under Confirm, Send or Confirm turn.</t>
  </si>
  <si>
    <t>C1.2</t>
  </si>
  <si>
    <t>Each card can be clicked: left = play, right = discard. Where two overlap, the card on top (the right one) takes the click.</t>
  </si>
  <si>
    <t>C1.3</t>
  </si>
  <si>
    <t>Select and confirm a few cards so the hand rebuilds; repeat over two rounds.</t>
  </si>
  <si>
    <t>The hand recentres without jumping sideways for a frame.</t>
  </si>
  <si>
    <t>C1.4</t>
  </si>
  <si>
    <t>Switch the Game view to 1024×768, then 3440×1440.</t>
  </si>
  <si>
    <t>The hand stays centred and clear of the buttons.</t>
  </si>
  <si>
    <t>C1.5</t>
  </si>
  <si>
    <t>The client's hand and buttons look the same as the host's.</t>
  </si>
  <si>
    <t>C2.1</t>
  </si>
  <si>
    <t>C2</t>
  </si>
  <si>
    <t>Deck refill has 84 cards</t>
  </si>
  <si>
    <t>L2, N31</t>
  </si>
  <si>
    <t>Keep T1. Play about 5 rounds (discard freely). Watch the host Console.</t>
  </si>
  <si>
    <t>'Deck refilled: 84 cards.' appears. No 'Refill deck is empty.'</t>
  </si>
  <si>
    <t>C3.1</t>
  </si>
  <si>
    <t>C3</t>
  </si>
  <si>
    <t>An over-budget selection is rejected and resets the timer once</t>
  </si>
  <si>
    <t>L1, C4</t>
  </si>
  <si>
    <t>Client</t>
  </si>
  <si>
    <t>T2</t>
  </si>
  <si>
    <t>Apply T2 (client mana gate off). Round 1 (2 mana): on the client, select Fireball or Clarity (3 mana) to play and press Confirm turn.</t>
  </si>
  <si>
    <t>The client's selection clears and 'Not enough mana' shows. The Card Selection countdown restarts from 60 on both windows.</t>
  </si>
  <si>
    <t>C3.2</t>
  </si>
  <si>
    <t>Do it again in the same Card Selection.</t>
  </si>
  <si>
    <t>Rejected again, but the countdown doesn't restart (1 reset per phase, 3 per match).</t>
  </si>
  <si>
    <t>C3.3</t>
  </si>
  <si>
    <t>Finish the match.</t>
  </si>
  <si>
    <t>The host Console shows '[Suspicious] client … match summary' with ManaOverBudget.</t>
  </si>
  <si>
    <t>D. Player build (after every temporary change is reverted)</t>
  </si>
  <si>
    <t>D1.1</t>
  </si>
  <si>
    <t>D1</t>
  </si>
  <si>
    <t>Release player build</t>
  </si>
  <si>
    <t>U1</t>
  </si>
  <si>
    <t>Build</t>
  </si>
  <si>
    <t>After every revert (Temp changes sheet): File → Build Profiles → Windows, Development Build off, build to C:\Lesson\Spellcasters.Build\.</t>
  </si>
  <si>
    <t>The build succeeds with no errors.</t>
  </si>
  <si>
    <t>D2.1</t>
  </si>
  <si>
    <t>D2</t>
  </si>
  <si>
    <t>The language survives a restart</t>
  </si>
  <si>
    <t>M12 (D.5)</t>
  </si>
  <si>
    <t>Start the build. Main menu → Settings → 日本語. Quit. Start it again.</t>
  </si>
  <si>
    <t>The game is in Japanese.</t>
  </si>
  <si>
    <t>D3.1</t>
  </si>
  <si>
    <t>D3</t>
  </si>
  <si>
    <t>Release logs and debug keys</t>
  </si>
  <si>
    <t>L9, C1</t>
  </si>
  <si>
    <t>Build + Editor</t>
  </si>
  <si>
    <t>Play a match with the build as host and the Editor as client. Then open Player.log (Read me → Useful facts).</t>
  </si>
  <si>
    <t>No gated lines such as 'Round break phase started' or 'Waiting for Respawn'. Ungated lines such as 'DespawnBlock' are expected (Known issues, N34).</t>
  </si>
  <si>
    <t>D3.2</t>
  </si>
  <si>
    <t>In the build, press Space in your own Player action.</t>
  </si>
  <si>
    <t>HP doesn't change.</t>
  </si>
  <si>
    <t>D3.3</t>
  </si>
  <si>
    <t>In the Editor as host, watch the Console.</t>
  </si>
  <si>
    <t>The phase lines ('Round break phase started', …) still appear: the debug flags still work in the Editor.</t>
  </si>
  <si>
    <t>D4.1</t>
  </si>
  <si>
    <t>D4</t>
  </si>
  <si>
    <t>Japanese and Russian render in the build</t>
  </si>
  <si>
    <t>N28</t>
  </si>
  <si>
    <t>In the build, play a match in Japanese, then in Russian (Settings).</t>
  </si>
  <si>
    <t>The HUD, announcer, cards and Result show the text with no missing-glyph boxes.</t>
  </si>
  <si>
    <t>D5.1</t>
  </si>
  <si>
    <t>D5</t>
  </si>
  <si>
    <t>Windowed 1366×768: every scene fits</t>
  </si>
  <si>
    <t>UI2, N39</t>
  </si>
  <si>
    <t>From a terminal: FallenStar-Spellcasters.exe -screen-fullscreen 0 -screen-width 1366 -screen-height 768. Go Login → Main menu → Settings → Lobby (create; select a lobby) → match → Result.</t>
  </si>
  <si>
    <t>Nothing is cut in any scene. The menus fill the window the same way as at 1920×1080.</t>
  </si>
  <si>
    <t>D6.1</t>
  </si>
  <si>
    <t>D6</t>
  </si>
  <si>
    <t>Fullscreen at native 2560×1600</t>
  </si>
  <si>
    <t>UI2, N42</t>
  </si>
  <si>
    <t>Start with -screen-fullscreen 1 -screen-width 2560 -screen-height 1600 (this also resets the size Unity remembered from D5).</t>
  </si>
  <si>
    <t>Main menu, Settings, Lobby and Result are about a third larger than before (expected). Login is slightly smaller and its background fills the screen. The match HUD looks as in B2.</t>
  </si>
  <si>
    <t>D7.1</t>
  </si>
  <si>
    <t>D7</t>
  </si>
  <si>
    <t>Lobby cycles with the build as host</t>
  </si>
  <si>
    <t>N30</t>
  </si>
  <si>
    <t>5 create/join/start/leave cycles with the build as host and the Editor as client.</t>
  </si>
  <si>
    <t>No TryCatchRequest NullReferenceException in Player.log or the Editor Console. The count and the Start button follow within about 2 s.</t>
  </si>
  <si>
    <t>Results summary</t>
  </si>
  <si>
    <t>Calculated from the Checklist sheet; don't edit. Result: Fail if any row failed, Blocked if any row is blocked, Pass when every required row is Pass or N/A, Optional when a group has only optional rows and none is filled in.</t>
  </si>
  <si>
    <t>Items</t>
  </si>
  <si>
    <t>Required</t>
  </si>
  <si>
    <t>Not run / empty</t>
  </si>
  <si>
    <t>Open (required)</t>
  </si>
  <si>
    <t>Done %</t>
  </si>
  <si>
    <t>Result</t>
  </si>
  <si>
    <t>Total</t>
  </si>
  <si>
    <t>All checks</t>
  </si>
  <si>
    <t>By report</t>
  </si>
  <si>
    <t>Source</t>
  </si>
  <si>
    <t>Report #8 round (19 tasks: L1–L10, N2–N31) and older backlog</t>
  </si>
  <si>
    <t>Report #9 round (UI1–UI4) and U14</t>
  </si>
  <si>
    <t>Rows that cover both rounds (Leave match, player build)</t>
  </si>
  <si>
    <t>Check: the by-report Items column must add up to the Total row. Difference:</t>
  </si>
  <si>
    <t>Temporary changes and the revert checklist</t>
  </si>
  <si>
    <t>Make every change in the main project only: the ParrelSync clone shares Assets, so it gets the same change, and a revert in the main project reverts the clone too. Mark Applied when you make a change and Reverted when it's undone. Don't commit any of these.</t>
  </si>
  <si>
    <t>Used by</t>
  </si>
  <si>
    <t>File</t>
  </si>
  <si>
    <t>Temporary change</t>
  </si>
  <si>
    <t>Revert to (original)</t>
  </si>
  <si>
    <t>How to revert</t>
  </si>
  <si>
    <t>Applied</t>
  </si>
  <si>
    <t>Reverted</t>
  </si>
  <si>
    <t>C1, C2</t>
  </si>
  <si>
    <t>Assets/Prefab/GameMasterPrefab.prefab</t>
  </si>
  <si>
    <t>GameMaster → m_startHandCards = 10 (cards per player per deal)</t>
  </si>
  <si>
    <t>2 (C# default; the field isn't in the prefab today)</t>
  </si>
  <si>
    <t>git restore Assets/Prefab/GameMasterPrefab.prefab (the file has no other uncommitted change today)</t>
  </si>
  <si>
    <t>C3 (optional)</t>
  </si>
  <si>
    <t>Assets/Scripts/InGame/PlayerSession.cs:297-298</t>
  </si>
  <si>
    <t>Comment out the client mana gate:
if (SelectedPlayCost() + card.m_cardData.m_cost &gt; m_manaCurrent.Value)
    return false;</t>
  </si>
  <si>
    <t>Both lines active</t>
  </si>
  <si>
    <t>Uncomment the two lines. Don't use git restore: PlayerSession.cs has other uncommitted work (report #8's tasks).</t>
  </si>
  <si>
    <t>Final</t>
  </si>
  <si>
    <t>All files above</t>
  </si>
  <si>
    <t>git status shows no change to GameMasterPrefab.prefab, and PlayerSession.cs:297-298 are active again</t>
  </si>
  <si>
    <t>Let both Editors recompile afterwards.</t>
  </si>
  <si>
    <t>Language (A8, A9, B1, B5, D2, D4)</t>
  </si>
  <si>
    <t>Locale set to ru/ja during the checks</t>
  </si>
  <si>
    <t>English</t>
  </si>
  <si>
    <t>Main menu → Settings → English, in the Editor and in the build.</t>
  </si>
  <si>
    <t>Build window size (D5, D6)</t>
  </si>
  <si>
    <t>Unity remembers the last window size and mode of the build</t>
  </si>
  <si>
    <t>Fullscreen, native</t>
  </si>
  <si>
    <t>Start the build once with -screen-fullscreen 1 -screen-width 2560 -screen-height 1600 (D6 does this).</t>
  </si>
  <si>
    <t>Note</t>
  </si>
  <si>
    <t>Assets/Fonts/MPLUSRounded1c-Medium SDF.asset</t>
  </si>
  <si>
    <t>Changes on its own after ru/ja text renders in the Editor (N28). It isn't one of the temporary changes.</t>
  </si>
  <si>
    <t>The cleared state (empty glyph and character tables)</t>
  </si>
  <si>
    <t>Before committing, with the Editors closed, copy build/ui1-ui4-verification/baseline/Assets/Fonts/MPLUSRounded1c-Medium SDF.asset over it (that file is the cleared state). Don't git restore it: HEAD would undo the N28 flag.</t>
  </si>
  <si>
    <t>Applied but not yet reverted:</t>
  </si>
  <si>
    <t>must be 0 before the player build (D) and before any commit</t>
  </si>
  <si>
    <t>What you may see during the checks</t>
  </si>
  <si>
    <t>Known and expected: don't mark a row Fail for these</t>
  </si>
  <si>
    <t>You see</t>
  </si>
  <si>
    <t>Notes</t>
  </si>
  <si>
    <t>The warning 'Invalid mane material index.' on every pony spawn.</t>
  </si>
  <si>
    <t>N27</t>
  </si>
  <si>
    <t>Parked by the owner until the mane model exists.</t>
  </si>
  <si>
    <t>Many plain log lines in the Console and in Player.log, e.g. 84 × 'DespawnBlock' at match end, 'Process called', 'Rpc called', 'RepairCalled', 'Card clicked', 'Tried ShowPrew'.</t>
  </si>
  <si>
    <t>N34</t>
  </si>
  <si>
    <t>Ungated logs; a hygiene task is pending.</t>
  </si>
  <si>
    <t>'No card selected for control package.' when Confirm is pressed with no board card selected.</t>
  </si>
  <si>
    <t>Expected warning.</t>
  </si>
  <si>
    <t>'Send ignored: no card target was confirmed.'</t>
  </si>
  <si>
    <t>N20</t>
  </si>
  <si>
    <t>Expected: Send needs a confirmed target. No message on screen (feature gap).</t>
  </si>
  <si>
    <t>'Remote client disconnected. Host continue' when the opponent leaves.</t>
  </si>
  <si>
    <t>H6</t>
  </si>
  <si>
    <t>Expected: the forfeit path.</t>
  </si>
  <si>
    <t>'Bootstrap: No saved language code found.' on the very first start.</t>
  </si>
  <si>
    <t>M12</t>
  </si>
  <si>
    <t>Expected until a language is picked once.</t>
  </si>
  <si>
    <t>The countdown shows 00 for a moment before the phase changes.</t>
  </si>
  <si>
    <t>N36</t>
  </si>
  <si>
    <t>Cosmetic; mark Fail only if it stays for more than about 1 s.</t>
  </si>
  <si>
    <t>'Round preparation' still shows while cards are dealt.</t>
  </si>
  <si>
    <t>Feature gap: no draw phase is set.</t>
  </si>
  <si>
    <t>With 10 cards the hand cards overlap by a little; the right card takes the click.</t>
  </si>
  <si>
    <t>UI3</t>
  </si>
  <si>
    <t>By design (C1.2).</t>
  </si>
  <si>
    <t>In Russian the Confirm label is smaller than in English.</t>
  </si>
  <si>
    <t>UI4</t>
  </si>
  <si>
    <t>Accepted residual. Note it if it's hard to read; the next step is a wider button.</t>
  </si>
  <si>
    <t>On 16:10 the menus fill slightly less of the screen height than on 16:9.</t>
  </si>
  <si>
    <t>UI2</t>
  </si>
  <si>
    <t>By design: Expand never cuts anything.</t>
  </si>
  <si>
    <t>The lobby player item shows the short ID as the name and the full ID under it.</t>
  </si>
  <si>
    <t>N29</t>
  </si>
  <si>
    <t>Parked by the owner.</t>
  </si>
  <si>
    <t>Lobby or network failures appear only in the Console, with no message on screen.</t>
  </si>
  <si>
    <t>Feature gap.</t>
  </si>
  <si>
    <t>NGO NetworkSceneManager.Dispose → NullReferenceException when you stop Play Mode or quit the Editor.</t>
  </si>
  <si>
    <t>U9</t>
  </si>
  <si>
    <t>Inside NGO, during teardown.</t>
  </si>
  <si>
    <t>MPLUSRounded1c-Medium SDF.asset shows as modified in git status, or the clone logs 'Importer(NativeFormatImporter) generated inconsistent result' for it.</t>
  </si>
  <si>
    <t>Expected in the Editor. Restore it before committing (Temp changes sheet, Note row).</t>
  </si>
  <si>
    <t>Fixed since the last checklist: mark the row Fail if you see these</t>
  </si>
  <si>
    <t>Checked in</t>
  </si>
  <si>
    <t>"NetworkVariable is written to, but doesn't know its NetworkBehaviour yet" at match start.</t>
  </si>
  <si>
    <t>N2</t>
  </si>
  <si>
    <t>The client's HP shows 0 or a wrong value for a moment at match start.</t>
  </si>
  <si>
    <t>N22</t>
  </si>
  <si>
    <t>The timer counts up, or the two windows differ by more than 1 s.</t>
  </si>
  <si>
    <t>Cards selected but not confirmed last round are still highlighted.</t>
  </si>
  <si>
    <t>A confirm pressed as Card Selection ends ends or skips a Player action.</t>
  </si>
  <si>
    <t>A card still resolves after the match-winning kill, or 'Waiting for respawn' starts on a last-life kill.</t>
  </si>
  <si>
    <t>The host's HUD goes blank before its Result screen after the client leaves.</t>
  </si>
  <si>
    <t>N17</t>
  </si>
  <si>
    <t>Card texts stay in the old language after a switch, or a MissingReferenceException appears.</t>
  </si>
  <si>
    <t>TryCatchRequest NullReferenceException in the lobby.</t>
  </si>
  <si>
    <t>A9.2, D7</t>
  </si>
  <si>
    <t>ArgumentException: An item with the same key has already been added. Key: Team Id</t>
  </si>
  <si>
    <t>Announcer line 2 cut with '…', or no separator ('Current turnred player…'), or stretched glyphs.</t>
  </si>
  <si>
    <t>N37, N38, N41</t>
  </si>
  <si>
    <t>'Announcer text truncated: …' warning.</t>
  </si>
  <si>
    <t>UI1</t>
  </si>
  <si>
    <t>HUD elements cut, or grouped around the centre instead of the corners, on 16:9, 21:9 or 4:3.</t>
  </si>
  <si>
    <t>N40</t>
  </si>
  <si>
    <t>A card preview partly off-screen.</t>
  </si>
  <si>
    <t>N43</t>
  </si>
  <si>
    <t>'Подтвердить' spills out of the Confirm button.</t>
  </si>
  <si>
    <t>N44</t>
  </si>
  <si>
    <t>A menu cut at 1366×768 (e.g. the Lobby), or bands around the Login background.</t>
  </si>
  <si>
    <t>N39, N42</t>
  </si>
  <si>
    <t>B6, D5, D6</t>
  </si>
  <si>
    <t>Hand cards under Confirm / Send / Confirm turn, or the hand jumping sideways for a frame.</t>
  </si>
  <si>
    <t>N45, N46</t>
  </si>
  <si>
    <t>The Space key changes HP in the release build, or gated phase lines in its Player.log.</t>
  </si>
  <si>
    <t>C1, L9</t>
  </si>
  <si>
    <t>Compiler warning CS0414 (m_cardResolveDelay) or CS0114 (PlayerUI.OnDestroy).</t>
  </si>
  <si>
    <t>N4, N1</t>
  </si>
  <si>
    <t>any</t>
  </si>
  <si>
    <t>Owner</t>
    <phoneticPr fontId="12"/>
  </si>
  <si>
    <t>Cant read buttons/cards text</t>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</si>
</sst>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4" x14ac:knownFonts="1">
    <font>
      <sz val="11"/>
      <color theme="1"/>
      <name val="ＭＳ Ｐゴシック"/>
      <family val="2"/>
      <scheme val="minor"/>
    </font>
    <font>
      <b/>
      <sz val="16"/>
      <color rgb="FF1F3A5F"/>
      <name val="Arial"/>
    </font>
    <font>
      <b/>
      <sz val="12"/>
      <color rgb="FF1F3A5F"/>
      <name val="Arial"/>
    </font>
    <font>
      <b/>
      <sz val="10"/>
      <name val="Arial"/>
    </font>
    <font>
      <sz val="10"/>
      <name val="Arial"/>
    </font>
    <font>
      <b/>
      <sz val="14"/>
      <color rgb="FF1F3A5F"/>
      <name val="Arial"/>
    </font>
    <font>
      <sz val="10"/>
      <color rgb="FF404040"/>
      <name val="Arial"/>
    </font>
    <font>
      <b/>
      <sz val="10"/>
      <color rgb="FFFFFFFF"/>
      <name val="Arial"/>
    </font>
    <font>
      <b/>
      <sz val="11"/>
      <color rgb="FF1F3A5F"/>
      <name val="Arial"/>
    </font>
    <font>
      <b/>
      <sz val="10"/>
      <color rgb="FF000000"/>
      <name val="Arial"/>
    </font>
    <font>
      <sz val="10"/>
      <color rgb="FF000000"/>
      <name val="Arial"/>
    </font>
    <font>
      <sz val="10"/>
      <color rgb="FF808080"/>
      <name val="Arial"/>
    </font>
    <font>
      <sz val="6"/>
      <name val="ＭＳ Ｐゴシック"/>
      <family val="3"/>
      <charset val="128"/>
      <scheme val="minor"/>
    </font>
    <font>
      <sz val="10"/>
      <name val="Arial"/>
      <family val="2"/>
    </font>
  </fonts>
  <fills count="6">
    <fill>
      <patternFill patternType="none"/>
    </fill>
    <fill>
      <patternFill patternType="gray125"/>
    </fill>
    <fill>
      <patternFill patternType="solid">
        <fgColor rgb="FFD9E2F3"/>
      </patternFill>
    </fill>
    <fill>
      <patternFill patternType="solid">
        <fgColor rgb="FF1F3A5F"/>
      </patternFill>
    </fill>
    <fill>
      <patternFill patternType="solid">
        <fgColor rgb="FFF3F6FA"/>
      </patternFill>
    </fill>
    <fill>
      <patternFill patternType="solid">
        <fgColor rgb="FFFFF7D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2" fillId="2" borderId="0" xfId="0" applyFont="1" applyFill="1"/>
    <xf numFmtId="0" fontId="0" fillId="2" borderId="0" xfId="0" applyFill="1"/>
    <xf numFmtId="0" fontId="3" fillId="0" borderId="0" xfId="0" applyFont="1" applyAlignment="1">
      <alignment vertical="top" wrapText="1"/>
    </xf>
    <xf numFmtId="0" fontId="4" fillId="0" borderId="0" xfId="0" applyFont="1" applyAlignment="1">
      <alignment vertical="top" wrapText="1"/>
    </xf>
    <xf numFmtId="0" fontId="6" fillId="0" borderId="0" xfId="0" applyFont="1"/>
    <xf numFmtId="0" fontId="7" fillId="3" borderId="1" xfId="0" applyFont="1" applyFill="1" applyBorder="1" applyAlignment="1">
      <alignment vertical="center" wrapText="1"/>
    </xf>
    <xf numFmtId="0" fontId="9" fillId="4" borderId="1" xfId="0" applyFont="1" applyFill="1" applyBorder="1" applyAlignment="1">
      <alignment vertical="top" wrapText="1"/>
    </xf>
    <xf numFmtId="0" fontId="10" fillId="4" borderId="1" xfId="0" applyFont="1" applyFill="1" applyBorder="1" applyAlignment="1">
      <alignment vertical="top" wrapText="1"/>
    </xf>
    <xf numFmtId="0" fontId="4" fillId="5" borderId="1" xfId="0" applyFont="1" applyFill="1" applyBorder="1" applyAlignment="1">
      <alignment vertical="top" wrapText="1"/>
    </xf>
    <xf numFmtId="176" fontId="4" fillId="5" borderId="1" xfId="0" applyNumberFormat="1" applyFont="1" applyFill="1" applyBorder="1" applyAlignment="1">
      <alignment vertical="top" wrapText="1"/>
    </xf>
    <xf numFmtId="0" fontId="11" fillId="4" borderId="1"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9" fontId="4" fillId="0" borderId="1" xfId="0" applyNumberFormat="1" applyFont="1" applyBorder="1" applyAlignment="1">
      <alignment vertical="top" wrapText="1"/>
    </xf>
    <xf numFmtId="0" fontId="3" fillId="2" borderId="1" xfId="0" applyFont="1" applyFill="1" applyBorder="1" applyAlignment="1">
      <alignment vertical="top" wrapText="1"/>
    </xf>
    <xf numFmtId="9" fontId="3" fillId="2" borderId="1" xfId="0" applyNumberFormat="1" applyFont="1" applyFill="1" applyBorder="1" applyAlignment="1">
      <alignment vertical="top" wrapText="1"/>
    </xf>
    <xf numFmtId="0" fontId="8" fillId="0" borderId="0" xfId="0" applyFont="1"/>
    <xf numFmtId="0" fontId="3" fillId="0" borderId="0" xfId="0" applyFont="1"/>
    <xf numFmtId="0" fontId="0" fillId="5" borderId="1" xfId="0" applyFill="1" applyBorder="1"/>
    <xf numFmtId="0" fontId="0" fillId="0" borderId="1" xfId="0" applyBorder="1"/>
    <xf numFmtId="0" fontId="7" fillId="3" borderId="1" xfId="0" applyFont="1" applyFill="1" applyBorder="1"/>
    <xf numFmtId="0" fontId="1" fillId="0" borderId="0" xfId="0" applyFont="1"/>
    <xf numFmtId="0" fontId="0" fillId="0" borderId="0" xfId="0"/>
    <xf numFmtId="0" fontId="8" fillId="2" borderId="0" xfId="0" applyFont="1" applyFill="1"/>
    <xf numFmtId="0" fontId="6" fillId="0" borderId="0" xfId="0" applyFont="1"/>
    <xf numFmtId="0" fontId="5" fillId="0" borderId="0" xfId="0" applyFont="1"/>
    <xf numFmtId="0" fontId="7" fillId="3" borderId="1" xfId="0" applyFont="1" applyFill="1" applyBorder="1" applyAlignment="1">
      <alignment vertical="center" wrapText="1"/>
    </xf>
    <xf numFmtId="0" fontId="0" fillId="0" borderId="2" xfId="0" applyBorder="1"/>
    <xf numFmtId="0" fontId="0" fillId="0" borderId="3" xfId="0" applyBorder="1"/>
    <xf numFmtId="0" fontId="4" fillId="0" borderId="1" xfId="0" applyFont="1" applyBorder="1" applyAlignment="1">
      <alignment vertical="top" wrapText="1"/>
    </xf>
    <xf numFmtId="0" fontId="6" fillId="0" borderId="0" xfId="0" applyFont="1" applyAlignment="1">
      <alignment vertical="top" wrapText="1"/>
    </xf>
    <xf numFmtId="0" fontId="4" fillId="0" borderId="0" xfId="0" applyFont="1"/>
    <xf numFmtId="0" fontId="3" fillId="0" borderId="0" xfId="0" applyFont="1"/>
    <xf numFmtId="0" fontId="13" fillId="5" borderId="1" xfId="0" applyFont="1" applyFill="1" applyBorder="1" applyAlignment="1">
      <alignment vertical="top" wrapText="1"/>
    </xf>
    <xf numFmtId="176" fontId="13" fillId="5" borderId="1" xfId="0" applyNumberFormat="1" applyFont="1" applyFill="1" applyBorder="1" applyAlignment="1">
      <alignment vertical="top" wrapText="1"/>
    </xf>
  </cellXfs>
  <cellStyles count="1">
    <cellStyle name="標準" xfId="0" builtinId="0"/>
  </cellStyles>
  <dxfs count="18">
    <dxf>
      <fill>
        <patternFill patternType="solid">
          <fgColor rgb="FFE7E6E6"/>
          <bgColor rgb="FFE7E6E6"/>
        </patternFill>
      </fill>
    </dxf>
    <dxf>
      <fill>
        <patternFill patternType="solid">
          <fgColor rgb="FFFFC7CE"/>
          <bgColor rgb="FFFFC7CE"/>
        </patternFill>
      </fill>
    </dxf>
    <dxf>
      <fill>
        <patternFill patternType="solid">
          <fgColor rgb="FFC6EFCE"/>
          <bgColor rgb="FFC6EFCE"/>
        </patternFill>
      </fill>
    </dxf>
    <dxf>
      <fill>
        <patternFill patternType="solid">
          <fgColor rgb="FFE7E6E6"/>
          <bgColor rgb="FFE7E6E6"/>
        </patternFill>
      </fill>
    </dxf>
    <dxf>
      <fill>
        <patternFill patternType="solid">
          <fgColor rgb="FFDDEBF7"/>
          <bgColor rgb="FFDDEBF7"/>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
      <fill>
        <patternFill patternType="solid">
          <fgColor rgb="FFE7E6E6"/>
          <bgColor rgb="FFE7E6E6"/>
        </patternFill>
      </fill>
    </dxf>
    <dxf>
      <fill>
        <patternFill patternType="solid">
          <fgColor rgb="FFDDEBF7"/>
          <bgColor rgb="FFDDEBF7"/>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
      <fill>
        <patternFill patternType="solid">
          <fgColor rgb="FFE7E6E6"/>
          <bgColor rgb="FFE7E6E6"/>
        </patternFill>
      </fill>
    </dxf>
    <dxf>
      <fill>
        <patternFill patternType="solid">
          <fgColor rgb="FFE7E6E6"/>
          <bgColor rgb="FFE7E6E6"/>
        </patternFill>
      </fill>
    </dxf>
    <dxf>
      <fill>
        <patternFill patternType="solid">
          <fgColor rgb="FFFFE0B2"/>
          <bgColor rgb="FFFFE0B2"/>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1"/>
  <sheetViews>
    <sheetView workbookViewId="0">
      <selection sqref="A1:B1"/>
    </sheetView>
  </sheetViews>
  <sheetFormatPr defaultRowHeight="13.5" x14ac:dyDescent="0.15"/>
  <cols>
    <col min="1" max="1" width="26" customWidth="1"/>
    <col min="2" max="2" width="104" customWidth="1"/>
  </cols>
  <sheetData>
    <row r="1" spans="1:2" ht="20.25" x14ac:dyDescent="0.3">
      <c r="A1" s="25" t="s">
        <v>0</v>
      </c>
      <c r="B1" s="26"/>
    </row>
    <row r="3" spans="1:2" ht="15.75" x14ac:dyDescent="0.25">
      <c r="A3" s="1" t="s">
        <v>1</v>
      </c>
      <c r="B3" s="2"/>
    </row>
    <row r="4" spans="1:2" ht="25.5" x14ac:dyDescent="0.15">
      <c r="A4" s="3" t="s">
        <v>2</v>
      </c>
      <c r="B4" s="4" t="s">
        <v>3</v>
      </c>
    </row>
    <row r="5" spans="1:2" ht="25.5" x14ac:dyDescent="0.15">
      <c r="A5" s="3" t="s">
        <v>4</v>
      </c>
      <c r="B5" s="4" t="s">
        <v>5</v>
      </c>
    </row>
    <row r="6" spans="1:2" ht="38.25" x14ac:dyDescent="0.15">
      <c r="A6" s="3" t="s">
        <v>6</v>
      </c>
      <c r="B6" s="4" t="s">
        <v>7</v>
      </c>
    </row>
    <row r="7" spans="1:2" ht="25.5" x14ac:dyDescent="0.15">
      <c r="A7" s="3" t="s">
        <v>8</v>
      </c>
      <c r="B7" s="4" t="s">
        <v>9</v>
      </c>
    </row>
    <row r="8" spans="1:2" ht="25.5" x14ac:dyDescent="0.15">
      <c r="A8" s="3" t="s">
        <v>10</v>
      </c>
      <c r="B8" s="4" t="s">
        <v>11</v>
      </c>
    </row>
    <row r="9" spans="1:2" ht="51" x14ac:dyDescent="0.15">
      <c r="A9" s="3" t="s">
        <v>12</v>
      </c>
      <c r="B9" s="4" t="s">
        <v>13</v>
      </c>
    </row>
    <row r="11" spans="1:2" ht="15.75" x14ac:dyDescent="0.25">
      <c r="A11" s="1" t="s">
        <v>14</v>
      </c>
      <c r="B11" s="2"/>
    </row>
    <row r="12" spans="1:2" ht="25.5" x14ac:dyDescent="0.15">
      <c r="A12" s="3" t="s">
        <v>15</v>
      </c>
      <c r="B12" s="4" t="s">
        <v>16</v>
      </c>
    </row>
    <row r="13" spans="1:2" x14ac:dyDescent="0.15">
      <c r="A13" s="3" t="s">
        <v>17</v>
      </c>
      <c r="B13" s="4" t="s">
        <v>18</v>
      </c>
    </row>
    <row r="14" spans="1:2" x14ac:dyDescent="0.15">
      <c r="A14" s="3" t="s">
        <v>19</v>
      </c>
      <c r="B14" s="4" t="s">
        <v>20</v>
      </c>
    </row>
    <row r="15" spans="1:2" x14ac:dyDescent="0.15">
      <c r="A15" s="3" t="s">
        <v>21</v>
      </c>
      <c r="B15" s="4" t="s">
        <v>22</v>
      </c>
    </row>
    <row r="16" spans="1:2" x14ac:dyDescent="0.15">
      <c r="A16" s="3" t="s">
        <v>23</v>
      </c>
      <c r="B16" s="4" t="s">
        <v>24</v>
      </c>
    </row>
    <row r="17" spans="1:2" x14ac:dyDescent="0.15">
      <c r="A17" s="3" t="s">
        <v>25</v>
      </c>
      <c r="B17" s="4" t="s">
        <v>26</v>
      </c>
    </row>
    <row r="18" spans="1:2" x14ac:dyDescent="0.15">
      <c r="A18" s="3" t="s">
        <v>27</v>
      </c>
      <c r="B18" s="4" t="s">
        <v>28</v>
      </c>
    </row>
    <row r="19" spans="1:2" ht="25.5" x14ac:dyDescent="0.15">
      <c r="A19" s="3" t="s">
        <v>29</v>
      </c>
      <c r="B19" s="4" t="s">
        <v>30</v>
      </c>
    </row>
    <row r="21" spans="1:2" ht="15.75" x14ac:dyDescent="0.25">
      <c r="A21" s="1" t="s">
        <v>31</v>
      </c>
      <c r="B21" s="2"/>
    </row>
    <row r="22" spans="1:2" x14ac:dyDescent="0.15">
      <c r="A22" s="3" t="s">
        <v>32</v>
      </c>
      <c r="B22" s="4" t="s">
        <v>33</v>
      </c>
    </row>
    <row r="23" spans="1:2" x14ac:dyDescent="0.15">
      <c r="A23" s="3" t="s">
        <v>34</v>
      </c>
      <c r="B23" s="4" t="s">
        <v>35</v>
      </c>
    </row>
    <row r="24" spans="1:2" x14ac:dyDescent="0.15">
      <c r="A24" s="3" t="s">
        <v>36</v>
      </c>
      <c r="B24" s="4" t="s">
        <v>37</v>
      </c>
    </row>
    <row r="26" spans="1:2" ht="15.75" x14ac:dyDescent="0.25">
      <c r="A26" s="1" t="s">
        <v>38</v>
      </c>
      <c r="B26" s="2"/>
    </row>
    <row r="27" spans="1:2" ht="25.5" x14ac:dyDescent="0.15">
      <c r="A27" s="3" t="s">
        <v>39</v>
      </c>
      <c r="B27" s="4" t="s">
        <v>40</v>
      </c>
    </row>
    <row r="28" spans="1:2" x14ac:dyDescent="0.15">
      <c r="A28" s="3" t="s">
        <v>41</v>
      </c>
      <c r="B28" s="4" t="s">
        <v>42</v>
      </c>
    </row>
    <row r="29" spans="1:2" ht="25.5" x14ac:dyDescent="0.15">
      <c r="A29" s="3" t="s">
        <v>43</v>
      </c>
      <c r="B29" s="4" t="s">
        <v>44</v>
      </c>
    </row>
    <row r="30" spans="1:2" ht="25.5" x14ac:dyDescent="0.15">
      <c r="A30" s="3" t="s">
        <v>45</v>
      </c>
      <c r="B30" s="4" t="s">
        <v>46</v>
      </c>
    </row>
    <row r="31" spans="1:2" ht="25.5" x14ac:dyDescent="0.15">
      <c r="A31" s="3" t="s">
        <v>47</v>
      </c>
      <c r="B31" s="4" t="s">
        <v>48</v>
      </c>
    </row>
    <row r="32" spans="1:2" ht="38.25" x14ac:dyDescent="0.15">
      <c r="A32" s="3" t="s">
        <v>49</v>
      </c>
      <c r="B32" s="4" t="s">
        <v>50</v>
      </c>
    </row>
    <row r="34" spans="1:2" ht="15.75" x14ac:dyDescent="0.25">
      <c r="A34" s="1" t="s">
        <v>51</v>
      </c>
      <c r="B34" s="2"/>
    </row>
    <row r="35" spans="1:2" ht="25.5" x14ac:dyDescent="0.15">
      <c r="A35" s="3" t="s">
        <v>52</v>
      </c>
      <c r="B35" s="4" t="s">
        <v>53</v>
      </c>
    </row>
    <row r="36" spans="1:2" ht="25.5" x14ac:dyDescent="0.15">
      <c r="A36" s="3" t="s">
        <v>54</v>
      </c>
      <c r="B36" s="4" t="s">
        <v>55</v>
      </c>
    </row>
    <row r="37" spans="1:2" x14ac:dyDescent="0.15">
      <c r="A37" s="3" t="s">
        <v>56</v>
      </c>
      <c r="B37" s="4" t="s">
        <v>57</v>
      </c>
    </row>
    <row r="38" spans="1:2" ht="51" x14ac:dyDescent="0.15">
      <c r="A38" s="3" t="s">
        <v>58</v>
      </c>
      <c r="B38" s="4" t="s">
        <v>59</v>
      </c>
    </row>
    <row r="39" spans="1:2" ht="25.5" x14ac:dyDescent="0.15">
      <c r="A39" s="3" t="s">
        <v>60</v>
      </c>
      <c r="B39" s="4" t="s">
        <v>61</v>
      </c>
    </row>
    <row r="40" spans="1:2" ht="25.5" x14ac:dyDescent="0.15">
      <c r="A40" s="3" t="s">
        <v>62</v>
      </c>
      <c r="B40" s="4" t="s">
        <v>63</v>
      </c>
    </row>
    <row r="41" spans="1:2" ht="25.5" x14ac:dyDescent="0.15">
      <c r="A41" s="3" t="s">
        <v>64</v>
      </c>
      <c r="B41" s="4" t="s">
        <v>65</v>
      </c>
    </row>
    <row r="42" spans="1:2" ht="25.5" x14ac:dyDescent="0.15">
      <c r="A42" s="3" t="s">
        <v>66</v>
      </c>
      <c r="B42" s="4" t="s">
        <v>67</v>
      </c>
    </row>
    <row r="43" spans="1:2" ht="25.5" x14ac:dyDescent="0.15">
      <c r="A43" s="3" t="s">
        <v>68</v>
      </c>
      <c r="B43" s="4" t="s">
        <v>69</v>
      </c>
    </row>
    <row r="44" spans="1:2" ht="51" x14ac:dyDescent="0.15">
      <c r="A44" s="3" t="s">
        <v>70</v>
      </c>
      <c r="B44" s="4" t="s">
        <v>71</v>
      </c>
    </row>
    <row r="45" spans="1:2" ht="25.5" x14ac:dyDescent="0.15">
      <c r="A45" s="3" t="s">
        <v>72</v>
      </c>
      <c r="B45" s="4" t="s">
        <v>73</v>
      </c>
    </row>
    <row r="47" spans="1:2" ht="15.75" x14ac:dyDescent="0.25">
      <c r="A47" s="1" t="s">
        <v>74</v>
      </c>
      <c r="B47" s="2"/>
    </row>
    <row r="48" spans="1:2" x14ac:dyDescent="0.15">
      <c r="A48" s="3" t="s">
        <v>75</v>
      </c>
      <c r="B48" s="4" t="s">
        <v>76</v>
      </c>
    </row>
    <row r="49" spans="1:2" x14ac:dyDescent="0.15">
      <c r="A49" s="3" t="s">
        <v>77</v>
      </c>
      <c r="B49" s="4" t="s">
        <v>78</v>
      </c>
    </row>
    <row r="50" spans="1:2" ht="25.5" x14ac:dyDescent="0.15">
      <c r="A50" s="3" t="s">
        <v>79</v>
      </c>
      <c r="B50" s="4" t="s">
        <v>80</v>
      </c>
    </row>
    <row r="51" spans="1:2" ht="25.5" x14ac:dyDescent="0.15">
      <c r="A51" s="3" t="s">
        <v>81</v>
      </c>
      <c r="B51" s="4" t="s">
        <v>82</v>
      </c>
    </row>
  </sheetData>
  <mergeCells count="1">
    <mergeCell ref="A1:B1"/>
  </mergeCells>
  <phoneticPr fontId="1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5"/>
  <sheetViews>
    <sheetView tabSelected="1" zoomScale="70" zoomScaleNormal="70" workbookViewId="0">
      <pane xSplit="3" ySplit="3" topLeftCell="F51" activePane="bottomRight" state="frozen"/>
      <selection pane="topRight"/>
      <selection pane="bottomLeft"/>
      <selection pane="bottomRight" activeCell="M65" sqref="M65"/>
    </sheetView>
  </sheetViews>
  <sheetFormatPr defaultRowHeight="13.5" x14ac:dyDescent="0.15"/>
  <cols>
    <col min="1" max="2" width="7" customWidth="1"/>
    <col min="3" max="3" width="30" customWidth="1"/>
    <col min="4" max="4" width="15" customWidth="1"/>
    <col min="5" max="5" width="9" customWidth="1"/>
    <col min="6" max="6" width="13" customWidth="1"/>
    <col min="7" max="7" width="10" customWidth="1"/>
    <col min="8" max="8" width="58" customWidth="1"/>
    <col min="9" max="9" width="52" customWidth="1"/>
    <col min="10" max="10" width="9" customWidth="1"/>
    <col min="11" max="11" width="11" customWidth="1"/>
    <col min="12" max="12" width="12" customWidth="1"/>
    <col min="13" max="13" width="11" customWidth="1"/>
    <col min="14" max="14" width="42" customWidth="1"/>
  </cols>
  <sheetData>
    <row r="1" spans="1:14" ht="18" customHeight="1" x14ac:dyDescent="0.25">
      <c r="A1" s="29" t="s">
        <v>0</v>
      </c>
      <c r="B1" s="26"/>
      <c r="C1" s="26"/>
      <c r="D1" s="26"/>
      <c r="E1" s="26"/>
      <c r="F1" s="26"/>
      <c r="G1" s="26"/>
      <c r="H1" s="26"/>
      <c r="I1" s="26"/>
      <c r="J1" s="26"/>
      <c r="K1" s="26"/>
      <c r="L1" s="26"/>
      <c r="M1" s="26"/>
      <c r="N1" s="26"/>
    </row>
    <row r="2" spans="1:14" ht="18" customHeight="1" x14ac:dyDescent="0.2">
      <c r="A2" s="28" t="s">
        <v>83</v>
      </c>
      <c r="B2" s="26"/>
      <c r="C2" s="26"/>
      <c r="D2" s="26"/>
      <c r="E2" s="26"/>
      <c r="F2" s="26"/>
      <c r="G2" s="26"/>
      <c r="H2" s="26"/>
      <c r="I2" s="26"/>
      <c r="J2" s="26"/>
      <c r="K2" s="26"/>
      <c r="L2" s="26"/>
      <c r="M2" s="26"/>
      <c r="N2" s="26"/>
    </row>
    <row r="3" spans="1:14" ht="27.95" customHeight="1" x14ac:dyDescent="0.15">
      <c r="A3" s="6" t="s">
        <v>84</v>
      </c>
      <c r="B3" s="6" t="s">
        <v>85</v>
      </c>
      <c r="C3" s="6" t="s">
        <v>86</v>
      </c>
      <c r="D3" s="6" t="s">
        <v>87</v>
      </c>
      <c r="E3" s="6" t="s">
        <v>88</v>
      </c>
      <c r="F3" s="6" t="s">
        <v>89</v>
      </c>
      <c r="G3" s="6" t="s">
        <v>90</v>
      </c>
      <c r="H3" s="6" t="s">
        <v>91</v>
      </c>
      <c r="I3" s="6" t="s">
        <v>92</v>
      </c>
      <c r="J3" s="6" t="s">
        <v>93</v>
      </c>
      <c r="K3" s="6" t="s">
        <v>94</v>
      </c>
      <c r="L3" s="6" t="s">
        <v>95</v>
      </c>
      <c r="M3" s="6" t="s">
        <v>96</v>
      </c>
      <c r="N3" s="6" t="s">
        <v>36</v>
      </c>
    </row>
    <row r="4" spans="1:14" ht="20.100000000000001" customHeight="1" x14ac:dyDescent="0.25">
      <c r="A4" s="27" t="s">
        <v>97</v>
      </c>
      <c r="B4" s="26"/>
      <c r="C4" s="26"/>
      <c r="D4" s="26"/>
      <c r="E4" s="26"/>
      <c r="F4" s="26"/>
      <c r="G4" s="26"/>
      <c r="H4" s="26"/>
      <c r="I4" s="26"/>
      <c r="J4" s="26"/>
      <c r="K4" s="26"/>
      <c r="L4" s="26"/>
      <c r="M4" s="26"/>
      <c r="N4" s="26"/>
    </row>
    <row r="5" spans="1:14" ht="25.5" x14ac:dyDescent="0.15">
      <c r="A5" s="7" t="s">
        <v>98</v>
      </c>
      <c r="B5" s="8" t="s">
        <v>99</v>
      </c>
      <c r="C5" s="8" t="s">
        <v>100</v>
      </c>
      <c r="D5" s="8" t="s">
        <v>101</v>
      </c>
      <c r="E5" s="8" t="s">
        <v>102</v>
      </c>
      <c r="F5" s="8" t="s">
        <v>103</v>
      </c>
      <c r="G5" s="8" t="s">
        <v>104</v>
      </c>
      <c r="H5" s="8" t="s">
        <v>105</v>
      </c>
      <c r="I5" s="8" t="s">
        <v>106</v>
      </c>
      <c r="J5" s="8"/>
      <c r="K5" s="9" t="s">
        <v>17</v>
      </c>
      <c r="L5" s="37" t="s">
        <v>500</v>
      </c>
      <c r="M5" s="10">
        <v>46316</v>
      </c>
      <c r="N5" s="9"/>
    </row>
    <row r="6" spans="1:14" ht="25.5" x14ac:dyDescent="0.15">
      <c r="A6" s="7" t="s">
        <v>107</v>
      </c>
      <c r="B6" s="8" t="s">
        <v>99</v>
      </c>
      <c r="C6" s="11" t="s">
        <v>100</v>
      </c>
      <c r="D6" s="11" t="s">
        <v>101</v>
      </c>
      <c r="E6" s="11" t="s">
        <v>102</v>
      </c>
      <c r="F6" s="11" t="s">
        <v>103</v>
      </c>
      <c r="G6" s="11" t="s">
        <v>104</v>
      </c>
      <c r="H6" s="8"/>
      <c r="I6" s="8" t="s">
        <v>108</v>
      </c>
      <c r="J6" s="8"/>
      <c r="K6" s="9" t="s">
        <v>17</v>
      </c>
      <c r="L6" s="37" t="s">
        <v>500</v>
      </c>
      <c r="M6" s="10">
        <v>46316</v>
      </c>
      <c r="N6" s="9"/>
    </row>
    <row r="7" spans="1:14" ht="25.5" x14ac:dyDescent="0.15">
      <c r="A7" s="7" t="s">
        <v>109</v>
      </c>
      <c r="B7" s="8" t="s">
        <v>99</v>
      </c>
      <c r="C7" s="11" t="s">
        <v>100</v>
      </c>
      <c r="D7" s="11" t="s">
        <v>101</v>
      </c>
      <c r="E7" s="11" t="s">
        <v>102</v>
      </c>
      <c r="F7" s="11" t="s">
        <v>103</v>
      </c>
      <c r="G7" s="11" t="s">
        <v>104</v>
      </c>
      <c r="H7" s="8" t="s">
        <v>110</v>
      </c>
      <c r="I7" s="8" t="s">
        <v>111</v>
      </c>
      <c r="J7" s="8"/>
      <c r="K7" s="9" t="s">
        <v>17</v>
      </c>
      <c r="L7" s="37" t="s">
        <v>500</v>
      </c>
      <c r="M7" s="10">
        <v>46316</v>
      </c>
      <c r="N7" s="9"/>
    </row>
    <row r="8" spans="1:14" ht="38.25" x14ac:dyDescent="0.15">
      <c r="A8" s="7" t="s">
        <v>112</v>
      </c>
      <c r="B8" s="8" t="s">
        <v>99</v>
      </c>
      <c r="C8" s="11" t="s">
        <v>100</v>
      </c>
      <c r="D8" s="11" t="s">
        <v>101</v>
      </c>
      <c r="E8" s="11" t="s">
        <v>102</v>
      </c>
      <c r="F8" s="11" t="s">
        <v>103</v>
      </c>
      <c r="G8" s="11" t="s">
        <v>104</v>
      </c>
      <c r="H8" s="8"/>
      <c r="I8" s="8" t="s">
        <v>113</v>
      </c>
      <c r="J8" s="8"/>
      <c r="K8" s="9" t="s">
        <v>17</v>
      </c>
      <c r="L8" s="37" t="s">
        <v>500</v>
      </c>
      <c r="M8" s="10">
        <v>46316</v>
      </c>
      <c r="N8" s="9"/>
    </row>
    <row r="9" spans="1:14" ht="25.5" x14ac:dyDescent="0.15">
      <c r="A9" s="7" t="s">
        <v>114</v>
      </c>
      <c r="B9" s="8" t="s">
        <v>99</v>
      </c>
      <c r="C9" s="11" t="s">
        <v>100</v>
      </c>
      <c r="D9" s="11" t="s">
        <v>101</v>
      </c>
      <c r="E9" s="11" t="s">
        <v>102</v>
      </c>
      <c r="F9" s="11" t="s">
        <v>103</v>
      </c>
      <c r="G9" s="11" t="s">
        <v>104</v>
      </c>
      <c r="H9" s="8"/>
      <c r="I9" s="8" t="s">
        <v>115</v>
      </c>
      <c r="J9" s="8"/>
      <c r="K9" s="9" t="s">
        <v>17</v>
      </c>
      <c r="L9" s="37" t="s">
        <v>500</v>
      </c>
      <c r="M9" s="10">
        <v>46316</v>
      </c>
      <c r="N9" s="9"/>
    </row>
    <row r="10" spans="1:14" ht="25.5" x14ac:dyDescent="0.15">
      <c r="A10" s="12" t="s">
        <v>116</v>
      </c>
      <c r="B10" s="13" t="s">
        <v>117</v>
      </c>
      <c r="C10" s="13" t="s">
        <v>118</v>
      </c>
      <c r="D10" s="13" t="s">
        <v>119</v>
      </c>
      <c r="E10" s="13" t="s">
        <v>102</v>
      </c>
      <c r="F10" s="13" t="s">
        <v>103</v>
      </c>
      <c r="G10" s="13" t="s">
        <v>104</v>
      </c>
      <c r="H10" s="13" t="s">
        <v>120</v>
      </c>
      <c r="I10" s="13" t="s">
        <v>121</v>
      </c>
      <c r="J10" s="13"/>
      <c r="K10" s="9" t="s">
        <v>17</v>
      </c>
      <c r="L10" s="37" t="s">
        <v>500</v>
      </c>
      <c r="M10" s="10">
        <v>46316</v>
      </c>
      <c r="N10" s="9"/>
    </row>
    <row r="11" spans="1:14" ht="25.5" x14ac:dyDescent="0.15">
      <c r="A11" s="12" t="s">
        <v>122</v>
      </c>
      <c r="B11" s="13" t="s">
        <v>117</v>
      </c>
      <c r="C11" s="14" t="s">
        <v>118</v>
      </c>
      <c r="D11" s="14" t="s">
        <v>119</v>
      </c>
      <c r="E11" s="14" t="s">
        <v>102</v>
      </c>
      <c r="F11" s="14" t="s">
        <v>103</v>
      </c>
      <c r="G11" s="14" t="s">
        <v>104</v>
      </c>
      <c r="H11" s="13"/>
      <c r="I11" s="13" t="s">
        <v>123</v>
      </c>
      <c r="J11" s="13"/>
      <c r="K11" s="9" t="s">
        <v>17</v>
      </c>
      <c r="L11" s="37" t="s">
        <v>500</v>
      </c>
      <c r="M11" s="10">
        <v>46316</v>
      </c>
      <c r="N11" s="9"/>
    </row>
    <row r="12" spans="1:14" ht="38.25" x14ac:dyDescent="0.15">
      <c r="A12" s="12" t="s">
        <v>124</v>
      </c>
      <c r="B12" s="13" t="s">
        <v>117</v>
      </c>
      <c r="C12" s="14" t="s">
        <v>118</v>
      </c>
      <c r="D12" s="14" t="s">
        <v>119</v>
      </c>
      <c r="E12" s="14" t="s">
        <v>102</v>
      </c>
      <c r="F12" s="14" t="s">
        <v>103</v>
      </c>
      <c r="G12" s="14" t="s">
        <v>104</v>
      </c>
      <c r="H12" s="13" t="s">
        <v>125</v>
      </c>
      <c r="I12" s="13" t="s">
        <v>126</v>
      </c>
      <c r="J12" s="13"/>
      <c r="K12" s="9" t="s">
        <v>17</v>
      </c>
      <c r="L12" s="37" t="s">
        <v>500</v>
      </c>
      <c r="M12" s="10">
        <v>46316</v>
      </c>
      <c r="N12" s="9"/>
    </row>
    <row r="13" spans="1:14" ht="25.5" x14ac:dyDescent="0.15">
      <c r="A13" s="7" t="s">
        <v>127</v>
      </c>
      <c r="B13" s="8" t="s">
        <v>128</v>
      </c>
      <c r="C13" s="8" t="s">
        <v>129</v>
      </c>
      <c r="D13" s="8" t="s">
        <v>130</v>
      </c>
      <c r="E13" s="8" t="s">
        <v>102</v>
      </c>
      <c r="F13" s="8" t="s">
        <v>131</v>
      </c>
      <c r="G13" s="8" t="s">
        <v>104</v>
      </c>
      <c r="H13" s="8" t="s">
        <v>132</v>
      </c>
      <c r="I13" s="8" t="s">
        <v>133</v>
      </c>
      <c r="J13" s="8"/>
      <c r="K13" s="9" t="s">
        <v>17</v>
      </c>
      <c r="L13" s="37" t="s">
        <v>500</v>
      </c>
      <c r="M13" s="10">
        <v>46316</v>
      </c>
      <c r="N13" s="9"/>
    </row>
    <row r="14" spans="1:14" ht="25.5" x14ac:dyDescent="0.15">
      <c r="A14" s="7" t="s">
        <v>134</v>
      </c>
      <c r="B14" s="8" t="s">
        <v>128</v>
      </c>
      <c r="C14" s="11" t="s">
        <v>129</v>
      </c>
      <c r="D14" s="11" t="s">
        <v>130</v>
      </c>
      <c r="E14" s="11" t="s">
        <v>102</v>
      </c>
      <c r="F14" s="11" t="s">
        <v>131</v>
      </c>
      <c r="G14" s="11" t="s">
        <v>104</v>
      </c>
      <c r="H14" s="8" t="s">
        <v>135</v>
      </c>
      <c r="I14" s="8" t="s">
        <v>136</v>
      </c>
      <c r="J14" s="8"/>
      <c r="K14" s="9" t="s">
        <v>17</v>
      </c>
      <c r="L14" s="37" t="s">
        <v>500</v>
      </c>
      <c r="M14" s="10">
        <v>46316</v>
      </c>
      <c r="N14" s="9"/>
    </row>
    <row r="15" spans="1:14" ht="51" x14ac:dyDescent="0.15">
      <c r="A15" s="12" t="s">
        <v>137</v>
      </c>
      <c r="B15" s="13" t="s">
        <v>138</v>
      </c>
      <c r="C15" s="13" t="s">
        <v>139</v>
      </c>
      <c r="D15" s="13" t="s">
        <v>140</v>
      </c>
      <c r="E15" s="13" t="s">
        <v>102</v>
      </c>
      <c r="F15" s="13" t="s">
        <v>131</v>
      </c>
      <c r="G15" s="13" t="s">
        <v>104</v>
      </c>
      <c r="H15" s="13" t="s">
        <v>141</v>
      </c>
      <c r="I15" s="13" t="s">
        <v>142</v>
      </c>
      <c r="J15" s="13" t="s">
        <v>143</v>
      </c>
      <c r="K15" s="9" t="s">
        <v>17</v>
      </c>
      <c r="L15" s="37" t="s">
        <v>500</v>
      </c>
      <c r="M15" s="10">
        <v>46316</v>
      </c>
      <c r="N15" s="9"/>
    </row>
    <row r="16" spans="1:14" ht="76.5" x14ac:dyDescent="0.15">
      <c r="A16" s="7" t="s">
        <v>144</v>
      </c>
      <c r="B16" s="8" t="s">
        <v>145</v>
      </c>
      <c r="C16" s="8" t="s">
        <v>146</v>
      </c>
      <c r="D16" s="8" t="s">
        <v>147</v>
      </c>
      <c r="E16" s="8" t="s">
        <v>102</v>
      </c>
      <c r="F16" s="8" t="s">
        <v>148</v>
      </c>
      <c r="G16" s="8" t="s">
        <v>104</v>
      </c>
      <c r="H16" s="8" t="s">
        <v>149</v>
      </c>
      <c r="I16" s="8" t="s">
        <v>150</v>
      </c>
      <c r="J16" s="8"/>
      <c r="K16" s="9" t="s">
        <v>17</v>
      </c>
      <c r="L16" s="37" t="s">
        <v>500</v>
      </c>
      <c r="M16" s="10">
        <v>46316</v>
      </c>
      <c r="N16" s="9"/>
    </row>
    <row r="17" spans="1:14" ht="25.5" x14ac:dyDescent="0.15">
      <c r="A17" s="7" t="s">
        <v>151</v>
      </c>
      <c r="B17" s="8" t="s">
        <v>145</v>
      </c>
      <c r="C17" s="11" t="s">
        <v>146</v>
      </c>
      <c r="D17" s="11" t="s">
        <v>147</v>
      </c>
      <c r="E17" s="11" t="s">
        <v>102</v>
      </c>
      <c r="F17" s="11" t="s">
        <v>148</v>
      </c>
      <c r="G17" s="11" t="s">
        <v>104</v>
      </c>
      <c r="H17" s="8"/>
      <c r="I17" s="8" t="s">
        <v>152</v>
      </c>
      <c r="J17" s="8"/>
      <c r="K17" s="9" t="s">
        <v>17</v>
      </c>
      <c r="L17" s="37" t="s">
        <v>500</v>
      </c>
      <c r="M17" s="10">
        <v>46316</v>
      </c>
      <c r="N17" s="9"/>
    </row>
    <row r="18" spans="1:14" ht="25.5" x14ac:dyDescent="0.15">
      <c r="A18" s="12" t="s">
        <v>153</v>
      </c>
      <c r="B18" s="13" t="s">
        <v>154</v>
      </c>
      <c r="C18" s="13" t="s">
        <v>155</v>
      </c>
      <c r="D18" s="13" t="s">
        <v>156</v>
      </c>
      <c r="E18" s="13" t="s">
        <v>157</v>
      </c>
      <c r="F18" s="13" t="s">
        <v>103</v>
      </c>
      <c r="G18" s="13" t="s">
        <v>104</v>
      </c>
      <c r="H18" s="13" t="s">
        <v>158</v>
      </c>
      <c r="I18" s="13" t="s">
        <v>159</v>
      </c>
      <c r="J18" s="13"/>
      <c r="K18" s="9" t="s">
        <v>17</v>
      </c>
      <c r="L18" s="37" t="s">
        <v>500</v>
      </c>
      <c r="M18" s="10">
        <v>46316</v>
      </c>
      <c r="N18" s="9"/>
    </row>
    <row r="19" spans="1:14" ht="25.5" x14ac:dyDescent="0.15">
      <c r="A19" s="12" t="s">
        <v>160</v>
      </c>
      <c r="B19" s="13" t="s">
        <v>154</v>
      </c>
      <c r="C19" s="14" t="s">
        <v>155</v>
      </c>
      <c r="D19" s="14" t="s">
        <v>156</v>
      </c>
      <c r="E19" s="14" t="s">
        <v>157</v>
      </c>
      <c r="F19" s="14" t="s">
        <v>103</v>
      </c>
      <c r="G19" s="14" t="s">
        <v>104</v>
      </c>
      <c r="H19" s="13" t="s">
        <v>161</v>
      </c>
      <c r="I19" s="13" t="s">
        <v>162</v>
      </c>
      <c r="J19" s="13"/>
      <c r="K19" s="9" t="s">
        <v>17</v>
      </c>
      <c r="L19" s="37" t="s">
        <v>500</v>
      </c>
      <c r="M19" s="10">
        <v>46316</v>
      </c>
      <c r="N19" s="9"/>
    </row>
    <row r="20" spans="1:14" x14ac:dyDescent="0.15">
      <c r="A20" s="7" t="s">
        <v>163</v>
      </c>
      <c r="B20" s="8" t="s">
        <v>164</v>
      </c>
      <c r="C20" s="8" t="s">
        <v>165</v>
      </c>
      <c r="D20" s="8" t="s">
        <v>166</v>
      </c>
      <c r="E20" s="8" t="s">
        <v>102</v>
      </c>
      <c r="F20" s="8" t="s">
        <v>131</v>
      </c>
      <c r="G20" s="8" t="s">
        <v>104</v>
      </c>
      <c r="H20" s="8" t="s">
        <v>167</v>
      </c>
      <c r="I20" s="8" t="s">
        <v>168</v>
      </c>
      <c r="J20" s="8"/>
      <c r="K20" s="9" t="s">
        <v>17</v>
      </c>
      <c r="L20" s="37" t="s">
        <v>500</v>
      </c>
      <c r="M20" s="10">
        <v>46316</v>
      </c>
      <c r="N20" s="9"/>
    </row>
    <row r="21" spans="1:14" ht="25.5" x14ac:dyDescent="0.15">
      <c r="A21" s="7" t="s">
        <v>169</v>
      </c>
      <c r="B21" s="8" t="s">
        <v>164</v>
      </c>
      <c r="C21" s="11" t="s">
        <v>165</v>
      </c>
      <c r="D21" s="11" t="s">
        <v>166</v>
      </c>
      <c r="E21" s="11" t="s">
        <v>102</v>
      </c>
      <c r="F21" s="11" t="s">
        <v>131</v>
      </c>
      <c r="G21" s="11" t="s">
        <v>104</v>
      </c>
      <c r="H21" s="8" t="s">
        <v>170</v>
      </c>
      <c r="I21" s="8" t="s">
        <v>171</v>
      </c>
      <c r="J21" s="8"/>
      <c r="K21" s="9" t="s">
        <v>17</v>
      </c>
      <c r="L21" s="37" t="s">
        <v>500</v>
      </c>
      <c r="M21" s="10">
        <v>46316</v>
      </c>
      <c r="N21" s="9"/>
    </row>
    <row r="22" spans="1:14" ht="38.25" x14ac:dyDescent="0.15">
      <c r="A22" s="12" t="s">
        <v>172</v>
      </c>
      <c r="B22" s="13" t="s">
        <v>173</v>
      </c>
      <c r="C22" s="13" t="s">
        <v>174</v>
      </c>
      <c r="D22" s="13" t="s">
        <v>175</v>
      </c>
      <c r="E22" s="13" t="s">
        <v>102</v>
      </c>
      <c r="F22" s="13" t="s">
        <v>131</v>
      </c>
      <c r="G22" s="13" t="s">
        <v>104</v>
      </c>
      <c r="H22" s="13" t="s">
        <v>176</v>
      </c>
      <c r="I22" s="13" t="s">
        <v>177</v>
      </c>
      <c r="J22" s="13"/>
      <c r="K22" s="9" t="s">
        <v>17</v>
      </c>
      <c r="L22" s="37" t="s">
        <v>500</v>
      </c>
      <c r="M22" s="10">
        <v>46316</v>
      </c>
      <c r="N22" s="9"/>
    </row>
    <row r="23" spans="1:14" ht="25.5" x14ac:dyDescent="0.15">
      <c r="A23" s="12" t="s">
        <v>178</v>
      </c>
      <c r="B23" s="13" t="s">
        <v>173</v>
      </c>
      <c r="C23" s="14" t="s">
        <v>174</v>
      </c>
      <c r="D23" s="14" t="s">
        <v>175</v>
      </c>
      <c r="E23" s="14" t="s">
        <v>102</v>
      </c>
      <c r="F23" s="14" t="s">
        <v>131</v>
      </c>
      <c r="G23" s="14" t="s">
        <v>104</v>
      </c>
      <c r="H23" s="13" t="s">
        <v>179</v>
      </c>
      <c r="I23" s="13" t="s">
        <v>180</v>
      </c>
      <c r="J23" s="13"/>
      <c r="K23" s="9" t="s">
        <v>17</v>
      </c>
      <c r="L23" s="37" t="s">
        <v>500</v>
      </c>
      <c r="M23" s="10">
        <v>46316</v>
      </c>
      <c r="N23" s="9"/>
    </row>
    <row r="24" spans="1:14" ht="25.5" x14ac:dyDescent="0.15">
      <c r="A24" s="7" t="s">
        <v>181</v>
      </c>
      <c r="B24" s="8" t="s">
        <v>182</v>
      </c>
      <c r="C24" s="8" t="s">
        <v>183</v>
      </c>
      <c r="D24" s="8" t="s">
        <v>184</v>
      </c>
      <c r="E24" s="8" t="s">
        <v>102</v>
      </c>
      <c r="F24" s="8" t="s">
        <v>103</v>
      </c>
      <c r="G24" s="8" t="s">
        <v>104</v>
      </c>
      <c r="H24" s="8" t="s">
        <v>185</v>
      </c>
      <c r="I24" s="8" t="s">
        <v>186</v>
      </c>
      <c r="J24" s="8"/>
      <c r="K24" s="9" t="s">
        <v>17</v>
      </c>
      <c r="L24" s="37" t="s">
        <v>500</v>
      </c>
      <c r="M24" s="10">
        <v>46316</v>
      </c>
      <c r="N24" s="9"/>
    </row>
    <row r="25" spans="1:14" ht="25.5" x14ac:dyDescent="0.15">
      <c r="A25" s="7" t="s">
        <v>187</v>
      </c>
      <c r="B25" s="8" t="s">
        <v>182</v>
      </c>
      <c r="C25" s="11" t="s">
        <v>183</v>
      </c>
      <c r="D25" s="11" t="s">
        <v>184</v>
      </c>
      <c r="E25" s="11" t="s">
        <v>102</v>
      </c>
      <c r="F25" s="11" t="s">
        <v>103</v>
      </c>
      <c r="G25" s="11" t="s">
        <v>104</v>
      </c>
      <c r="H25" s="8" t="s">
        <v>188</v>
      </c>
      <c r="I25" s="8" t="s">
        <v>189</v>
      </c>
      <c r="J25" s="8"/>
      <c r="K25" s="9" t="s">
        <v>17</v>
      </c>
      <c r="L25" s="37" t="s">
        <v>500</v>
      </c>
      <c r="M25" s="10">
        <v>46316</v>
      </c>
      <c r="N25" s="9"/>
    </row>
    <row r="26" spans="1:14" ht="25.5" x14ac:dyDescent="0.15">
      <c r="A26" s="12" t="s">
        <v>190</v>
      </c>
      <c r="B26" s="13" t="s">
        <v>191</v>
      </c>
      <c r="C26" s="13" t="s">
        <v>192</v>
      </c>
      <c r="D26" s="13" t="s">
        <v>193</v>
      </c>
      <c r="E26" s="13" t="s">
        <v>102</v>
      </c>
      <c r="F26" s="13" t="s">
        <v>194</v>
      </c>
      <c r="G26" s="13" t="s">
        <v>104</v>
      </c>
      <c r="H26" s="13" t="s">
        <v>195</v>
      </c>
      <c r="I26" s="13" t="s">
        <v>196</v>
      </c>
      <c r="J26" s="13"/>
      <c r="K26" s="9" t="s">
        <v>17</v>
      </c>
      <c r="L26" s="37" t="s">
        <v>500</v>
      </c>
      <c r="M26" s="10">
        <v>46316</v>
      </c>
      <c r="N26" s="9"/>
    </row>
    <row r="27" spans="1:14" ht="25.5" x14ac:dyDescent="0.15">
      <c r="A27" s="7" t="s">
        <v>197</v>
      </c>
      <c r="B27" s="8" t="s">
        <v>198</v>
      </c>
      <c r="C27" s="8" t="s">
        <v>199</v>
      </c>
      <c r="D27" s="8" t="s">
        <v>200</v>
      </c>
      <c r="E27" s="8" t="s">
        <v>102</v>
      </c>
      <c r="F27" s="8" t="s">
        <v>194</v>
      </c>
      <c r="G27" s="8" t="s">
        <v>104</v>
      </c>
      <c r="H27" s="8" t="s">
        <v>201</v>
      </c>
      <c r="I27" s="8" t="s">
        <v>202</v>
      </c>
      <c r="J27" s="8" t="s">
        <v>143</v>
      </c>
      <c r="K27" s="9" t="s">
        <v>17</v>
      </c>
      <c r="L27" s="37" t="s">
        <v>500</v>
      </c>
      <c r="M27" s="10">
        <v>46316</v>
      </c>
      <c r="N27" s="9"/>
    </row>
    <row r="28" spans="1:14" ht="25.5" x14ac:dyDescent="0.15">
      <c r="A28" s="7" t="s">
        <v>203</v>
      </c>
      <c r="B28" s="8" t="s">
        <v>198</v>
      </c>
      <c r="C28" s="11" t="s">
        <v>199</v>
      </c>
      <c r="D28" s="11" t="s">
        <v>200</v>
      </c>
      <c r="E28" s="11" t="s">
        <v>102</v>
      </c>
      <c r="F28" s="11" t="s">
        <v>194</v>
      </c>
      <c r="G28" s="11" t="s">
        <v>104</v>
      </c>
      <c r="H28" s="8" t="s">
        <v>204</v>
      </c>
      <c r="I28" s="8" t="s">
        <v>205</v>
      </c>
      <c r="J28" s="8" t="s">
        <v>143</v>
      </c>
      <c r="K28" s="9" t="s">
        <v>17</v>
      </c>
      <c r="L28" s="37" t="s">
        <v>500</v>
      </c>
      <c r="M28" s="10">
        <v>46316</v>
      </c>
      <c r="N28" s="9"/>
    </row>
    <row r="29" spans="1:14" ht="20.100000000000001" customHeight="1" x14ac:dyDescent="0.25">
      <c r="A29" s="27" t="s">
        <v>206</v>
      </c>
      <c r="B29" s="26"/>
      <c r="C29" s="26"/>
      <c r="D29" s="26"/>
      <c r="E29" s="26"/>
      <c r="F29" s="26"/>
      <c r="G29" s="26"/>
      <c r="H29" s="26"/>
      <c r="I29" s="26"/>
      <c r="J29" s="26"/>
      <c r="K29" s="26"/>
      <c r="L29" s="26"/>
      <c r="M29" s="26"/>
      <c r="N29" s="26"/>
    </row>
    <row r="30" spans="1:14" ht="38.25" x14ac:dyDescent="0.15">
      <c r="A30" s="12" t="s">
        <v>207</v>
      </c>
      <c r="B30" s="13" t="s">
        <v>208</v>
      </c>
      <c r="C30" s="13" t="s">
        <v>209</v>
      </c>
      <c r="D30" s="13" t="s">
        <v>210</v>
      </c>
      <c r="E30" s="13" t="s">
        <v>211</v>
      </c>
      <c r="F30" s="13" t="s">
        <v>103</v>
      </c>
      <c r="G30" s="13" t="s">
        <v>104</v>
      </c>
      <c r="H30" s="13" t="s">
        <v>212</v>
      </c>
      <c r="I30" s="13" t="s">
        <v>213</v>
      </c>
      <c r="J30" s="13"/>
      <c r="K30" s="9" t="s">
        <v>17</v>
      </c>
      <c r="L30" s="37" t="s">
        <v>500</v>
      </c>
      <c r="M30" s="10">
        <v>46316</v>
      </c>
      <c r="N30" s="9"/>
    </row>
    <row r="31" spans="1:14" ht="25.5" x14ac:dyDescent="0.15">
      <c r="A31" s="12" t="s">
        <v>214</v>
      </c>
      <c r="B31" s="13" t="s">
        <v>208</v>
      </c>
      <c r="C31" s="14" t="s">
        <v>209</v>
      </c>
      <c r="D31" s="14" t="s">
        <v>210</v>
      </c>
      <c r="E31" s="14" t="s">
        <v>211</v>
      </c>
      <c r="F31" s="14" t="s">
        <v>103</v>
      </c>
      <c r="G31" s="14" t="s">
        <v>104</v>
      </c>
      <c r="H31" s="13" t="s">
        <v>215</v>
      </c>
      <c r="I31" s="13" t="s">
        <v>216</v>
      </c>
      <c r="J31" s="13"/>
      <c r="K31" s="9" t="s">
        <v>17</v>
      </c>
      <c r="L31" s="37" t="s">
        <v>500</v>
      </c>
      <c r="M31" s="10">
        <v>46316</v>
      </c>
      <c r="N31" s="9"/>
    </row>
    <row r="32" spans="1:14" ht="25.5" x14ac:dyDescent="0.15">
      <c r="A32" s="12" t="s">
        <v>217</v>
      </c>
      <c r="B32" s="13" t="s">
        <v>208</v>
      </c>
      <c r="C32" s="14" t="s">
        <v>209</v>
      </c>
      <c r="D32" s="14" t="s">
        <v>210</v>
      </c>
      <c r="E32" s="14" t="s">
        <v>211</v>
      </c>
      <c r="F32" s="14" t="s">
        <v>103</v>
      </c>
      <c r="G32" s="14" t="s">
        <v>104</v>
      </c>
      <c r="H32" s="13" t="s">
        <v>218</v>
      </c>
      <c r="I32" s="13" t="s">
        <v>219</v>
      </c>
      <c r="J32" s="13"/>
      <c r="K32" s="9" t="s">
        <v>17</v>
      </c>
      <c r="L32" s="37" t="s">
        <v>500</v>
      </c>
      <c r="M32" s="10">
        <v>46316</v>
      </c>
      <c r="N32" s="9"/>
    </row>
    <row r="33" spans="1:14" ht="25.5" x14ac:dyDescent="0.15">
      <c r="A33" s="12" t="s">
        <v>220</v>
      </c>
      <c r="B33" s="13" t="s">
        <v>208</v>
      </c>
      <c r="C33" s="14" t="s">
        <v>209</v>
      </c>
      <c r="D33" s="14" t="s">
        <v>210</v>
      </c>
      <c r="E33" s="14" t="s">
        <v>211</v>
      </c>
      <c r="F33" s="14" t="s">
        <v>103</v>
      </c>
      <c r="G33" s="14" t="s">
        <v>104</v>
      </c>
      <c r="H33" s="13"/>
      <c r="I33" s="13" t="s">
        <v>221</v>
      </c>
      <c r="J33" s="13"/>
      <c r="K33" s="9" t="s">
        <v>17</v>
      </c>
      <c r="L33" s="37" t="s">
        <v>500</v>
      </c>
      <c r="M33" s="10">
        <v>46316</v>
      </c>
      <c r="N33" s="9"/>
    </row>
    <row r="34" spans="1:14" ht="51" x14ac:dyDescent="0.15">
      <c r="A34" s="7" t="s">
        <v>222</v>
      </c>
      <c r="B34" s="8" t="s">
        <v>223</v>
      </c>
      <c r="C34" s="8" t="s">
        <v>224</v>
      </c>
      <c r="D34" s="8" t="s">
        <v>225</v>
      </c>
      <c r="E34" s="8" t="s">
        <v>211</v>
      </c>
      <c r="F34" s="8" t="s">
        <v>103</v>
      </c>
      <c r="G34" s="8" t="s">
        <v>104</v>
      </c>
      <c r="H34" s="8" t="s">
        <v>226</v>
      </c>
      <c r="I34" s="8" t="s">
        <v>227</v>
      </c>
      <c r="J34" s="8"/>
      <c r="K34" s="9" t="s">
        <v>17</v>
      </c>
      <c r="L34" s="37" t="s">
        <v>500</v>
      </c>
      <c r="M34" s="10">
        <v>46316</v>
      </c>
      <c r="N34" s="9"/>
    </row>
    <row r="35" spans="1:14" ht="38.25" x14ac:dyDescent="0.15">
      <c r="A35" s="12" t="s">
        <v>228</v>
      </c>
      <c r="B35" s="13" t="s">
        <v>229</v>
      </c>
      <c r="C35" s="13" t="s">
        <v>230</v>
      </c>
      <c r="D35" s="13" t="s">
        <v>231</v>
      </c>
      <c r="E35" s="13" t="s">
        <v>211</v>
      </c>
      <c r="F35" s="13" t="s">
        <v>131</v>
      </c>
      <c r="G35" s="13" t="s">
        <v>104</v>
      </c>
      <c r="H35" s="13" t="s">
        <v>232</v>
      </c>
      <c r="I35" s="13" t="s">
        <v>233</v>
      </c>
      <c r="J35" s="13"/>
      <c r="K35" s="9" t="s">
        <v>17</v>
      </c>
      <c r="L35" s="37" t="s">
        <v>500</v>
      </c>
      <c r="M35" s="10">
        <v>46316</v>
      </c>
      <c r="N35" s="9"/>
    </row>
    <row r="36" spans="1:14" ht="25.5" x14ac:dyDescent="0.15">
      <c r="A36" s="12" t="s">
        <v>234</v>
      </c>
      <c r="B36" s="13" t="s">
        <v>229</v>
      </c>
      <c r="C36" s="14" t="s">
        <v>230</v>
      </c>
      <c r="D36" s="14" t="s">
        <v>231</v>
      </c>
      <c r="E36" s="14" t="s">
        <v>211</v>
      </c>
      <c r="F36" s="14" t="s">
        <v>131</v>
      </c>
      <c r="G36" s="14" t="s">
        <v>104</v>
      </c>
      <c r="H36" s="13" t="s">
        <v>235</v>
      </c>
      <c r="I36" s="13" t="s">
        <v>236</v>
      </c>
      <c r="J36" s="13"/>
      <c r="K36" s="9" t="s">
        <v>17</v>
      </c>
      <c r="L36" s="37" t="s">
        <v>500</v>
      </c>
      <c r="M36" s="10">
        <v>46316</v>
      </c>
      <c r="N36" s="9"/>
    </row>
    <row r="37" spans="1:14" ht="25.5" x14ac:dyDescent="0.15">
      <c r="A37" s="12" t="s">
        <v>237</v>
      </c>
      <c r="B37" s="13" t="s">
        <v>229</v>
      </c>
      <c r="C37" s="14" t="s">
        <v>230</v>
      </c>
      <c r="D37" s="14" t="s">
        <v>231</v>
      </c>
      <c r="E37" s="14" t="s">
        <v>211</v>
      </c>
      <c r="F37" s="14" t="s">
        <v>131</v>
      </c>
      <c r="G37" s="14" t="s">
        <v>104</v>
      </c>
      <c r="H37" s="13" t="s">
        <v>238</v>
      </c>
      <c r="I37" s="13" t="s">
        <v>239</v>
      </c>
      <c r="J37" s="13"/>
      <c r="K37" s="9" t="s">
        <v>17</v>
      </c>
      <c r="L37" s="37" t="s">
        <v>500</v>
      </c>
      <c r="M37" s="10">
        <v>46316</v>
      </c>
      <c r="N37" s="9"/>
    </row>
    <row r="38" spans="1:14" ht="25.5" x14ac:dyDescent="0.15">
      <c r="A38" s="7" t="s">
        <v>240</v>
      </c>
      <c r="B38" s="8" t="s">
        <v>241</v>
      </c>
      <c r="C38" s="8" t="s">
        <v>242</v>
      </c>
      <c r="D38" s="8" t="s">
        <v>243</v>
      </c>
      <c r="E38" s="8" t="s">
        <v>211</v>
      </c>
      <c r="F38" s="8" t="s">
        <v>131</v>
      </c>
      <c r="G38" s="8" t="s">
        <v>104</v>
      </c>
      <c r="H38" s="8" t="s">
        <v>244</v>
      </c>
      <c r="I38" s="8" t="s">
        <v>245</v>
      </c>
      <c r="J38" s="8"/>
      <c r="K38" s="9" t="s">
        <v>17</v>
      </c>
      <c r="L38" s="37" t="s">
        <v>500</v>
      </c>
      <c r="M38" s="10">
        <v>46316</v>
      </c>
      <c r="N38" s="9"/>
    </row>
    <row r="39" spans="1:14" x14ac:dyDescent="0.15">
      <c r="A39" s="7" t="s">
        <v>246</v>
      </c>
      <c r="B39" s="8" t="s">
        <v>241</v>
      </c>
      <c r="C39" s="11" t="s">
        <v>242</v>
      </c>
      <c r="D39" s="11" t="s">
        <v>243</v>
      </c>
      <c r="E39" s="11" t="s">
        <v>211</v>
      </c>
      <c r="F39" s="11" t="s">
        <v>131</v>
      </c>
      <c r="G39" s="11" t="s">
        <v>104</v>
      </c>
      <c r="H39" s="8" t="s">
        <v>247</v>
      </c>
      <c r="I39" s="8" t="s">
        <v>248</v>
      </c>
      <c r="J39" s="8"/>
      <c r="K39" s="9" t="s">
        <v>17</v>
      </c>
      <c r="L39" s="37" t="s">
        <v>500</v>
      </c>
      <c r="M39" s="10">
        <v>46316</v>
      </c>
      <c r="N39" s="9"/>
    </row>
    <row r="40" spans="1:14" x14ac:dyDescent="0.15">
      <c r="A40" s="7" t="s">
        <v>249</v>
      </c>
      <c r="B40" s="8" t="s">
        <v>241</v>
      </c>
      <c r="C40" s="11" t="s">
        <v>242</v>
      </c>
      <c r="D40" s="11" t="s">
        <v>243</v>
      </c>
      <c r="E40" s="11" t="s">
        <v>211</v>
      </c>
      <c r="F40" s="11" t="s">
        <v>131</v>
      </c>
      <c r="G40" s="11" t="s">
        <v>104</v>
      </c>
      <c r="H40" s="8" t="s">
        <v>250</v>
      </c>
      <c r="I40" s="8" t="s">
        <v>248</v>
      </c>
      <c r="J40" s="8"/>
      <c r="K40" s="9" t="s">
        <v>19</v>
      </c>
      <c r="L40" s="37" t="s">
        <v>500</v>
      </c>
      <c r="M40" s="10">
        <v>46316</v>
      </c>
      <c r="N40" s="37" t="s">
        <v>501</v>
      </c>
    </row>
    <row r="41" spans="1:14" ht="25.5" x14ac:dyDescent="0.15">
      <c r="A41" s="12" t="s">
        <v>251</v>
      </c>
      <c r="B41" s="13" t="s">
        <v>252</v>
      </c>
      <c r="C41" s="13" t="s">
        <v>253</v>
      </c>
      <c r="D41" s="13" t="s">
        <v>254</v>
      </c>
      <c r="E41" s="13" t="s">
        <v>211</v>
      </c>
      <c r="F41" s="13" t="s">
        <v>131</v>
      </c>
      <c r="G41" s="13" t="s">
        <v>104</v>
      </c>
      <c r="H41" s="13" t="s">
        <v>255</v>
      </c>
      <c r="I41" s="13" t="s">
        <v>256</v>
      </c>
      <c r="J41" s="13"/>
      <c r="K41" s="9" t="s">
        <v>17</v>
      </c>
      <c r="L41" s="37" t="s">
        <v>500</v>
      </c>
      <c r="M41" s="10">
        <v>46316</v>
      </c>
      <c r="N41" s="9"/>
    </row>
    <row r="42" spans="1:14" ht="38.25" x14ac:dyDescent="0.15">
      <c r="A42" s="7" t="s">
        <v>257</v>
      </c>
      <c r="B42" s="8" t="s">
        <v>258</v>
      </c>
      <c r="C42" s="8" t="s">
        <v>259</v>
      </c>
      <c r="D42" s="8" t="s">
        <v>260</v>
      </c>
      <c r="E42" s="8" t="s">
        <v>211</v>
      </c>
      <c r="F42" s="8" t="s">
        <v>261</v>
      </c>
      <c r="G42" s="8" t="s">
        <v>104</v>
      </c>
      <c r="H42" s="8" t="s">
        <v>262</v>
      </c>
      <c r="I42" s="8" t="s">
        <v>263</v>
      </c>
      <c r="J42" s="8"/>
      <c r="K42" s="9" t="s">
        <v>17</v>
      </c>
      <c r="L42" s="37" t="s">
        <v>500</v>
      </c>
      <c r="M42" s="10">
        <v>46316</v>
      </c>
      <c r="N42" s="9"/>
    </row>
    <row r="43" spans="1:14" ht="25.5" x14ac:dyDescent="0.15">
      <c r="A43" s="7" t="s">
        <v>264</v>
      </c>
      <c r="B43" s="8" t="s">
        <v>258</v>
      </c>
      <c r="C43" s="11" t="s">
        <v>259</v>
      </c>
      <c r="D43" s="11" t="s">
        <v>260</v>
      </c>
      <c r="E43" s="11" t="s">
        <v>211</v>
      </c>
      <c r="F43" s="11" t="s">
        <v>261</v>
      </c>
      <c r="G43" s="11" t="s">
        <v>104</v>
      </c>
      <c r="H43" s="8" t="s">
        <v>265</v>
      </c>
      <c r="I43" s="8" t="s">
        <v>266</v>
      </c>
      <c r="J43" s="8"/>
      <c r="K43" s="9" t="s">
        <v>17</v>
      </c>
      <c r="L43" s="37" t="s">
        <v>500</v>
      </c>
      <c r="M43" s="38">
        <v>46316</v>
      </c>
      <c r="N43" s="9"/>
    </row>
    <row r="44" spans="1:14" ht="25.5" x14ac:dyDescent="0.15">
      <c r="A44" s="7" t="s">
        <v>267</v>
      </c>
      <c r="B44" s="8" t="s">
        <v>258</v>
      </c>
      <c r="C44" s="11" t="s">
        <v>259</v>
      </c>
      <c r="D44" s="11" t="s">
        <v>260</v>
      </c>
      <c r="E44" s="11" t="s">
        <v>211</v>
      </c>
      <c r="F44" s="11" t="s">
        <v>261</v>
      </c>
      <c r="G44" s="11" t="s">
        <v>104</v>
      </c>
      <c r="H44" s="8" t="s">
        <v>268</v>
      </c>
      <c r="I44" s="8" t="s">
        <v>269</v>
      </c>
      <c r="J44" s="8"/>
      <c r="K44" s="9" t="s">
        <v>17</v>
      </c>
      <c r="L44" s="37" t="s">
        <v>500</v>
      </c>
      <c r="M44" s="10">
        <v>46316</v>
      </c>
      <c r="N44" s="9"/>
    </row>
    <row r="45" spans="1:14" ht="25.5" x14ac:dyDescent="0.15">
      <c r="A45" s="12" t="s">
        <v>270</v>
      </c>
      <c r="B45" s="13" t="s">
        <v>271</v>
      </c>
      <c r="C45" s="13" t="s">
        <v>272</v>
      </c>
      <c r="D45" s="13" t="s">
        <v>273</v>
      </c>
      <c r="E45" s="13" t="s">
        <v>211</v>
      </c>
      <c r="F45" s="13" t="s">
        <v>131</v>
      </c>
      <c r="G45" s="13" t="s">
        <v>104</v>
      </c>
      <c r="H45" s="13" t="s">
        <v>274</v>
      </c>
      <c r="I45" s="13" t="s">
        <v>275</v>
      </c>
      <c r="J45" s="13"/>
      <c r="K45" s="9" t="s">
        <v>17</v>
      </c>
      <c r="L45" s="37" t="s">
        <v>500</v>
      </c>
      <c r="M45" s="10">
        <v>46316</v>
      </c>
      <c r="N45" s="9"/>
    </row>
    <row r="46" spans="1:14" ht="20.100000000000001" customHeight="1" x14ac:dyDescent="0.25">
      <c r="A46" s="27" t="s">
        <v>276</v>
      </c>
      <c r="B46" s="26"/>
      <c r="C46" s="26"/>
      <c r="D46" s="26"/>
      <c r="E46" s="26"/>
      <c r="F46" s="26"/>
      <c r="G46" s="26"/>
      <c r="H46" s="26"/>
      <c r="I46" s="26"/>
      <c r="J46" s="26"/>
      <c r="K46" s="26"/>
      <c r="L46" s="26"/>
      <c r="M46" s="26"/>
      <c r="N46" s="26"/>
    </row>
    <row r="47" spans="1:14" ht="25.5" x14ac:dyDescent="0.15">
      <c r="A47" s="7" t="s">
        <v>277</v>
      </c>
      <c r="B47" s="8" t="s">
        <v>278</v>
      </c>
      <c r="C47" s="8" t="s">
        <v>279</v>
      </c>
      <c r="D47" s="8" t="s">
        <v>280</v>
      </c>
      <c r="E47" s="8" t="s">
        <v>211</v>
      </c>
      <c r="F47" s="8" t="s">
        <v>103</v>
      </c>
      <c r="G47" s="8" t="s">
        <v>281</v>
      </c>
      <c r="H47" s="8" t="s">
        <v>282</v>
      </c>
      <c r="I47" s="8" t="s">
        <v>283</v>
      </c>
      <c r="J47" s="8"/>
      <c r="K47" s="9" t="s">
        <v>17</v>
      </c>
      <c r="L47" s="37" t="s">
        <v>500</v>
      </c>
      <c r="M47" s="10">
        <v>46316</v>
      </c>
      <c r="N47" s="9"/>
    </row>
    <row r="48" spans="1:14" ht="25.5" x14ac:dyDescent="0.15">
      <c r="A48" s="7" t="s">
        <v>284</v>
      </c>
      <c r="B48" s="8" t="s">
        <v>278</v>
      </c>
      <c r="C48" s="11" t="s">
        <v>279</v>
      </c>
      <c r="D48" s="11" t="s">
        <v>280</v>
      </c>
      <c r="E48" s="11" t="s">
        <v>211</v>
      </c>
      <c r="F48" s="11" t="s">
        <v>103</v>
      </c>
      <c r="G48" s="11" t="s">
        <v>281</v>
      </c>
      <c r="H48" s="8"/>
      <c r="I48" s="8" t="s">
        <v>285</v>
      </c>
      <c r="J48" s="8"/>
      <c r="K48" s="9" t="s">
        <v>17</v>
      </c>
      <c r="L48" s="37" t="s">
        <v>500</v>
      </c>
      <c r="M48" s="10">
        <v>46316</v>
      </c>
      <c r="N48" s="9"/>
    </row>
    <row r="49" spans="1:14" ht="25.5" x14ac:dyDescent="0.15">
      <c r="A49" s="7" t="s">
        <v>286</v>
      </c>
      <c r="B49" s="8" t="s">
        <v>278</v>
      </c>
      <c r="C49" s="11" t="s">
        <v>279</v>
      </c>
      <c r="D49" s="11" t="s">
        <v>280</v>
      </c>
      <c r="E49" s="11" t="s">
        <v>211</v>
      </c>
      <c r="F49" s="11" t="s">
        <v>103</v>
      </c>
      <c r="G49" s="11" t="s">
        <v>281</v>
      </c>
      <c r="H49" s="8" t="s">
        <v>287</v>
      </c>
      <c r="I49" s="8" t="s">
        <v>288</v>
      </c>
      <c r="J49" s="8"/>
      <c r="K49" s="9" t="s">
        <v>17</v>
      </c>
      <c r="L49" s="37" t="s">
        <v>500</v>
      </c>
      <c r="M49" s="10">
        <v>46316</v>
      </c>
      <c r="N49" s="9"/>
    </row>
    <row r="50" spans="1:14" ht="25.5" x14ac:dyDescent="0.15">
      <c r="A50" s="7" t="s">
        <v>289</v>
      </c>
      <c r="B50" s="8" t="s">
        <v>278</v>
      </c>
      <c r="C50" s="11" t="s">
        <v>279</v>
      </c>
      <c r="D50" s="11" t="s">
        <v>280</v>
      </c>
      <c r="E50" s="11" t="s">
        <v>211</v>
      </c>
      <c r="F50" s="11" t="s">
        <v>103</v>
      </c>
      <c r="G50" s="11" t="s">
        <v>281</v>
      </c>
      <c r="H50" s="8" t="s">
        <v>290</v>
      </c>
      <c r="I50" s="8" t="s">
        <v>291</v>
      </c>
      <c r="J50" s="8"/>
      <c r="K50" s="9" t="s">
        <v>17</v>
      </c>
      <c r="L50" s="37" t="s">
        <v>500</v>
      </c>
      <c r="M50" s="10">
        <v>46316</v>
      </c>
      <c r="N50" s="9"/>
    </row>
    <row r="51" spans="1:14" ht="25.5" x14ac:dyDescent="0.15">
      <c r="A51" s="7" t="s">
        <v>292</v>
      </c>
      <c r="B51" s="8" t="s">
        <v>278</v>
      </c>
      <c r="C51" s="11" t="s">
        <v>279</v>
      </c>
      <c r="D51" s="11" t="s">
        <v>280</v>
      </c>
      <c r="E51" s="11" t="s">
        <v>211</v>
      </c>
      <c r="F51" s="11" t="s">
        <v>103</v>
      </c>
      <c r="G51" s="11" t="s">
        <v>281</v>
      </c>
      <c r="H51" s="8"/>
      <c r="I51" s="8" t="s">
        <v>293</v>
      </c>
      <c r="J51" s="8"/>
      <c r="K51" s="9" t="s">
        <v>17</v>
      </c>
      <c r="L51" s="37" t="s">
        <v>500</v>
      </c>
      <c r="M51" s="10">
        <v>46316</v>
      </c>
      <c r="N51" s="9"/>
    </row>
    <row r="52" spans="1:14" x14ac:dyDescent="0.15">
      <c r="A52" s="12" t="s">
        <v>294</v>
      </c>
      <c r="B52" s="13" t="s">
        <v>295</v>
      </c>
      <c r="C52" s="13" t="s">
        <v>296</v>
      </c>
      <c r="D52" s="13" t="s">
        <v>297</v>
      </c>
      <c r="E52" s="13" t="s">
        <v>102</v>
      </c>
      <c r="F52" s="13" t="s">
        <v>194</v>
      </c>
      <c r="G52" s="13" t="s">
        <v>281</v>
      </c>
      <c r="H52" s="13" t="s">
        <v>298</v>
      </c>
      <c r="I52" s="13" t="s">
        <v>299</v>
      </c>
      <c r="J52" s="13" t="s">
        <v>143</v>
      </c>
      <c r="K52" s="9" t="s">
        <v>17</v>
      </c>
      <c r="L52" s="37" t="s">
        <v>500</v>
      </c>
      <c r="M52" s="10">
        <v>46316</v>
      </c>
      <c r="N52" s="9"/>
    </row>
    <row r="53" spans="1:14" ht="25.5" x14ac:dyDescent="0.15">
      <c r="A53" s="7" t="s">
        <v>300</v>
      </c>
      <c r="B53" s="8" t="s">
        <v>301</v>
      </c>
      <c r="C53" s="8" t="s">
        <v>302</v>
      </c>
      <c r="D53" s="8" t="s">
        <v>303</v>
      </c>
      <c r="E53" s="8" t="s">
        <v>102</v>
      </c>
      <c r="F53" s="8" t="s">
        <v>304</v>
      </c>
      <c r="G53" s="8" t="s">
        <v>305</v>
      </c>
      <c r="H53" s="8" t="s">
        <v>306</v>
      </c>
      <c r="I53" s="8" t="s">
        <v>307</v>
      </c>
      <c r="J53" s="8" t="s">
        <v>143</v>
      </c>
      <c r="K53" s="9" t="s">
        <v>17</v>
      </c>
      <c r="L53" s="37" t="s">
        <v>500</v>
      </c>
      <c r="M53" s="10">
        <v>46316</v>
      </c>
      <c r="N53" s="9"/>
    </row>
    <row r="54" spans="1:14" ht="25.5" x14ac:dyDescent="0.15">
      <c r="A54" s="7" t="s">
        <v>308</v>
      </c>
      <c r="B54" s="8" t="s">
        <v>301</v>
      </c>
      <c r="C54" s="11" t="s">
        <v>302</v>
      </c>
      <c r="D54" s="11" t="s">
        <v>303</v>
      </c>
      <c r="E54" s="11" t="s">
        <v>102</v>
      </c>
      <c r="F54" s="11" t="s">
        <v>304</v>
      </c>
      <c r="G54" s="11" t="s">
        <v>305</v>
      </c>
      <c r="H54" s="8" t="s">
        <v>309</v>
      </c>
      <c r="I54" s="8" t="s">
        <v>310</v>
      </c>
      <c r="J54" s="8" t="s">
        <v>143</v>
      </c>
      <c r="K54" s="9" t="s">
        <v>17</v>
      </c>
      <c r="L54" s="37" t="s">
        <v>500</v>
      </c>
      <c r="M54" s="10">
        <v>46316</v>
      </c>
      <c r="N54" s="9"/>
    </row>
    <row r="55" spans="1:14" ht="25.5" x14ac:dyDescent="0.15">
      <c r="A55" s="7" t="s">
        <v>311</v>
      </c>
      <c r="B55" s="8" t="s">
        <v>301</v>
      </c>
      <c r="C55" s="11" t="s">
        <v>302</v>
      </c>
      <c r="D55" s="11" t="s">
        <v>303</v>
      </c>
      <c r="E55" s="11" t="s">
        <v>102</v>
      </c>
      <c r="F55" s="11" t="s">
        <v>304</v>
      </c>
      <c r="G55" s="11" t="s">
        <v>305</v>
      </c>
      <c r="H55" s="8" t="s">
        <v>312</v>
      </c>
      <c r="I55" s="8" t="s">
        <v>313</v>
      </c>
      <c r="J55" s="8" t="s">
        <v>143</v>
      </c>
      <c r="K55" s="9" t="s">
        <v>17</v>
      </c>
      <c r="L55" s="37" t="s">
        <v>500</v>
      </c>
      <c r="M55" s="10">
        <v>46316</v>
      </c>
      <c r="N55" s="9"/>
    </row>
    <row r="56" spans="1:14" ht="20.100000000000001" customHeight="1" x14ac:dyDescent="0.25">
      <c r="A56" s="27" t="s">
        <v>314</v>
      </c>
      <c r="B56" s="26"/>
      <c r="C56" s="26"/>
      <c r="D56" s="26"/>
      <c r="E56" s="26"/>
      <c r="F56" s="26"/>
      <c r="G56" s="26"/>
      <c r="H56" s="26"/>
      <c r="I56" s="26"/>
      <c r="J56" s="26"/>
      <c r="K56" s="26"/>
      <c r="L56" s="26"/>
      <c r="M56" s="26"/>
      <c r="N56" s="26"/>
    </row>
    <row r="57" spans="1:14" ht="25.5" x14ac:dyDescent="0.15">
      <c r="A57" s="12" t="s">
        <v>315</v>
      </c>
      <c r="B57" s="13" t="s">
        <v>316</v>
      </c>
      <c r="C57" s="13" t="s">
        <v>317</v>
      </c>
      <c r="D57" s="13" t="s">
        <v>318</v>
      </c>
      <c r="E57" s="13" t="s">
        <v>157</v>
      </c>
      <c r="F57" s="13" t="s">
        <v>319</v>
      </c>
      <c r="G57" s="13" t="s">
        <v>104</v>
      </c>
      <c r="H57" s="13" t="s">
        <v>320</v>
      </c>
      <c r="I57" s="13" t="s">
        <v>321</v>
      </c>
      <c r="J57" s="13"/>
      <c r="K57" s="9" t="s">
        <v>17</v>
      </c>
      <c r="L57" s="37" t="s">
        <v>500</v>
      </c>
      <c r="M57" s="10">
        <v>46316</v>
      </c>
      <c r="N57" s="9"/>
    </row>
    <row r="58" spans="1:14" x14ac:dyDescent="0.15">
      <c r="A58" s="7" t="s">
        <v>322</v>
      </c>
      <c r="B58" s="8" t="s">
        <v>323</v>
      </c>
      <c r="C58" s="8" t="s">
        <v>324</v>
      </c>
      <c r="D58" s="8" t="s">
        <v>325</v>
      </c>
      <c r="E58" s="8" t="s">
        <v>102</v>
      </c>
      <c r="F58" s="8" t="s">
        <v>319</v>
      </c>
      <c r="G58" s="8" t="s">
        <v>104</v>
      </c>
      <c r="H58" s="8" t="s">
        <v>326</v>
      </c>
      <c r="I58" s="8" t="s">
        <v>327</v>
      </c>
      <c r="J58" s="8"/>
      <c r="K58" s="9" t="s">
        <v>17</v>
      </c>
      <c r="L58" s="37" t="s">
        <v>500</v>
      </c>
      <c r="M58" s="10">
        <v>46316</v>
      </c>
      <c r="N58" s="9"/>
    </row>
    <row r="59" spans="1:14" ht="38.25" x14ac:dyDescent="0.15">
      <c r="A59" s="12" t="s">
        <v>328</v>
      </c>
      <c r="B59" s="13" t="s">
        <v>329</v>
      </c>
      <c r="C59" s="13" t="s">
        <v>330</v>
      </c>
      <c r="D59" s="13" t="s">
        <v>331</v>
      </c>
      <c r="E59" s="13" t="s">
        <v>102</v>
      </c>
      <c r="F59" s="13" t="s">
        <v>332</v>
      </c>
      <c r="G59" s="13" t="s">
        <v>104</v>
      </c>
      <c r="H59" s="13" t="s">
        <v>333</v>
      </c>
      <c r="I59" s="13" t="s">
        <v>334</v>
      </c>
      <c r="J59" s="13"/>
      <c r="K59" s="9" t="s">
        <v>17</v>
      </c>
      <c r="L59" s="37" t="s">
        <v>500</v>
      </c>
      <c r="M59" s="10">
        <v>46316</v>
      </c>
      <c r="N59" s="9"/>
    </row>
    <row r="60" spans="1:14" x14ac:dyDescent="0.15">
      <c r="A60" s="12" t="s">
        <v>335</v>
      </c>
      <c r="B60" s="13" t="s">
        <v>329</v>
      </c>
      <c r="C60" s="14" t="s">
        <v>330</v>
      </c>
      <c r="D60" s="14" t="s">
        <v>331</v>
      </c>
      <c r="E60" s="14" t="s">
        <v>102</v>
      </c>
      <c r="F60" s="14" t="s">
        <v>332</v>
      </c>
      <c r="G60" s="14" t="s">
        <v>104</v>
      </c>
      <c r="H60" s="13" t="s">
        <v>336</v>
      </c>
      <c r="I60" s="13" t="s">
        <v>337</v>
      </c>
      <c r="J60" s="13"/>
      <c r="K60" s="9" t="s">
        <v>17</v>
      </c>
      <c r="L60" s="37" t="s">
        <v>500</v>
      </c>
      <c r="M60" s="10">
        <v>46316</v>
      </c>
      <c r="N60" s="9"/>
    </row>
    <row r="61" spans="1:14" ht="25.5" x14ac:dyDescent="0.15">
      <c r="A61" s="12" t="s">
        <v>338</v>
      </c>
      <c r="B61" s="13" t="s">
        <v>329</v>
      </c>
      <c r="C61" s="14" t="s">
        <v>330</v>
      </c>
      <c r="D61" s="14" t="s">
        <v>331</v>
      </c>
      <c r="E61" s="14" t="s">
        <v>102</v>
      </c>
      <c r="F61" s="14" t="s">
        <v>332</v>
      </c>
      <c r="G61" s="14" t="s">
        <v>104</v>
      </c>
      <c r="H61" s="13" t="s">
        <v>339</v>
      </c>
      <c r="I61" s="13" t="s">
        <v>340</v>
      </c>
      <c r="J61" s="13"/>
      <c r="K61" s="9" t="s">
        <v>17</v>
      </c>
      <c r="L61" s="37" t="s">
        <v>500</v>
      </c>
      <c r="M61" s="10">
        <v>46316</v>
      </c>
      <c r="N61" s="9"/>
    </row>
    <row r="62" spans="1:14" ht="25.5" x14ac:dyDescent="0.15">
      <c r="A62" s="7" t="s">
        <v>341</v>
      </c>
      <c r="B62" s="8" t="s">
        <v>342</v>
      </c>
      <c r="C62" s="8" t="s">
        <v>343</v>
      </c>
      <c r="D62" s="8" t="s">
        <v>344</v>
      </c>
      <c r="E62" s="8" t="s">
        <v>102</v>
      </c>
      <c r="F62" s="8" t="s">
        <v>319</v>
      </c>
      <c r="G62" s="8" t="s">
        <v>104</v>
      </c>
      <c r="H62" s="8" t="s">
        <v>345</v>
      </c>
      <c r="I62" s="8" t="s">
        <v>346</v>
      </c>
      <c r="J62" s="8"/>
      <c r="K62" s="9" t="s">
        <v>17</v>
      </c>
      <c r="L62" s="37" t="s">
        <v>500</v>
      </c>
      <c r="M62" s="10">
        <v>46316</v>
      </c>
      <c r="N62" s="9"/>
    </row>
    <row r="63" spans="1:14" ht="38.25" x14ac:dyDescent="0.15">
      <c r="A63" s="12" t="s">
        <v>347</v>
      </c>
      <c r="B63" s="13" t="s">
        <v>348</v>
      </c>
      <c r="C63" s="13" t="s">
        <v>349</v>
      </c>
      <c r="D63" s="13" t="s">
        <v>350</v>
      </c>
      <c r="E63" s="13" t="s">
        <v>211</v>
      </c>
      <c r="F63" s="13" t="s">
        <v>319</v>
      </c>
      <c r="G63" s="13" t="s">
        <v>104</v>
      </c>
      <c r="H63" s="13" t="s">
        <v>351</v>
      </c>
      <c r="I63" s="13" t="s">
        <v>352</v>
      </c>
      <c r="J63" s="13"/>
      <c r="K63" s="9" t="s">
        <v>17</v>
      </c>
      <c r="L63" s="37" t="s">
        <v>500</v>
      </c>
      <c r="M63" s="10">
        <v>46316</v>
      </c>
      <c r="N63" s="9"/>
    </row>
    <row r="64" spans="1:14" ht="38.25" x14ac:dyDescent="0.15">
      <c r="A64" s="7" t="s">
        <v>353</v>
      </c>
      <c r="B64" s="8" t="s">
        <v>354</v>
      </c>
      <c r="C64" s="8" t="s">
        <v>355</v>
      </c>
      <c r="D64" s="8" t="s">
        <v>356</v>
      </c>
      <c r="E64" s="8" t="s">
        <v>211</v>
      </c>
      <c r="F64" s="8" t="s">
        <v>319</v>
      </c>
      <c r="G64" s="8" t="s">
        <v>104</v>
      </c>
      <c r="H64" s="8" t="s">
        <v>357</v>
      </c>
      <c r="I64" s="8" t="s">
        <v>358</v>
      </c>
      <c r="J64" s="8"/>
      <c r="K64" s="9" t="s">
        <v>17</v>
      </c>
      <c r="L64" s="37" t="s">
        <v>500</v>
      </c>
      <c r="M64" s="10">
        <v>46316</v>
      </c>
      <c r="N64" s="9"/>
    </row>
    <row r="65" spans="1:14" ht="25.5" x14ac:dyDescent="0.15">
      <c r="A65" s="12" t="s">
        <v>359</v>
      </c>
      <c r="B65" s="13" t="s">
        <v>360</v>
      </c>
      <c r="C65" s="13" t="s">
        <v>361</v>
      </c>
      <c r="D65" s="13" t="s">
        <v>362</v>
      </c>
      <c r="E65" s="13" t="s">
        <v>102</v>
      </c>
      <c r="F65" s="13" t="s">
        <v>332</v>
      </c>
      <c r="G65" s="13" t="s">
        <v>104</v>
      </c>
      <c r="H65" s="13" t="s">
        <v>363</v>
      </c>
      <c r="I65" s="13" t="s">
        <v>364</v>
      </c>
      <c r="J65" s="13"/>
      <c r="K65" s="9" t="s">
        <v>17</v>
      </c>
      <c r="L65" s="37" t="s">
        <v>500</v>
      </c>
      <c r="M65" s="10">
        <v>46316</v>
      </c>
      <c r="N65" s="9"/>
    </row>
  </sheetData>
  <autoFilter ref="A3:N65" xr:uid="{00000000-0009-0000-0000-000001000000}"/>
  <mergeCells count="6">
    <mergeCell ref="A1:N1"/>
    <mergeCell ref="A56:N56"/>
    <mergeCell ref="A4:N4"/>
    <mergeCell ref="A2:N2"/>
    <mergeCell ref="A29:N29"/>
    <mergeCell ref="A46:N46"/>
  </mergeCells>
  <phoneticPr fontId="12"/>
  <conditionalFormatting sqref="K4:K65">
    <cfRule type="expression" dxfId="17" priority="1">
      <formula>$K4="Pass"</formula>
    </cfRule>
    <cfRule type="expression" dxfId="16" priority="2">
      <formula>$K4="Fail"</formula>
    </cfRule>
    <cfRule type="expression" dxfId="15" priority="3">
      <formula>$K4="Blocked"</formula>
    </cfRule>
    <cfRule type="expression" dxfId="14" priority="4">
      <formula>$K4="N/A"</formula>
    </cfRule>
    <cfRule type="expression" dxfId="13" priority="5">
      <formula>$K4="Not run"</formula>
    </cfRule>
  </conditionalFormatting>
  <dataValidations count="2">
    <dataValidation type="list" allowBlank="1" sqref="K4:K65" xr:uid="{00000000-0002-0000-0100-000000000000}">
      <formula1>"Pass,Fail,Blocked,Not run,N/A"</formula1>
    </dataValidation>
    <dataValidation type="date" operator="greaterThan" allowBlank="1" error="Enter a date, e.g. 2026-10-22" sqref="M4:M65" xr:uid="{00000000-0002-0000-0100-000001000000}">
      <formula1>44927</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workbookViewId="0">
      <pane xSplit="2" ySplit="4" topLeftCell="C5" activePane="bottomRight" state="frozen"/>
      <selection pane="topRight"/>
      <selection pane="bottomLeft"/>
      <selection pane="bottomRight" sqref="A1:N1"/>
    </sheetView>
  </sheetViews>
  <sheetFormatPr defaultRowHeight="13.5" x14ac:dyDescent="0.15"/>
  <cols>
    <col min="1" max="1" width="8" customWidth="1"/>
    <col min="2" max="2" width="46" customWidth="1"/>
    <col min="3" max="3" width="20" customWidth="1"/>
    <col min="4" max="4" width="9" customWidth="1"/>
    <col min="5" max="5" width="8" customWidth="1"/>
    <col min="6" max="6" width="9" customWidth="1"/>
    <col min="7" max="8" width="7" customWidth="1"/>
    <col min="9" max="9" width="8" customWidth="1"/>
    <col min="10" max="10" width="7" customWidth="1"/>
    <col min="11" max="12" width="10" customWidth="1"/>
    <col min="13" max="13" width="9" customWidth="1"/>
    <col min="14" max="14" width="13" customWidth="1"/>
  </cols>
  <sheetData>
    <row r="1" spans="1:14" ht="18" x14ac:dyDescent="0.25">
      <c r="A1" s="29" t="s">
        <v>365</v>
      </c>
      <c r="B1" s="26"/>
      <c r="C1" s="26"/>
      <c r="D1" s="26"/>
      <c r="E1" s="26"/>
      <c r="F1" s="26"/>
      <c r="G1" s="26"/>
      <c r="H1" s="26"/>
      <c r="I1" s="26"/>
      <c r="J1" s="26"/>
      <c r="K1" s="26"/>
      <c r="L1" s="26"/>
      <c r="M1" s="26"/>
      <c r="N1" s="26"/>
    </row>
    <row r="2" spans="1:14" ht="27.95" customHeight="1" x14ac:dyDescent="0.15">
      <c r="A2" s="34" t="s">
        <v>366</v>
      </c>
      <c r="B2" s="26"/>
      <c r="C2" s="26"/>
      <c r="D2" s="26"/>
      <c r="E2" s="26"/>
      <c r="F2" s="26"/>
      <c r="G2" s="26"/>
      <c r="H2" s="26"/>
      <c r="I2" s="26"/>
      <c r="J2" s="26"/>
      <c r="K2" s="26"/>
      <c r="L2" s="26"/>
      <c r="M2" s="26"/>
      <c r="N2" s="26"/>
    </row>
    <row r="4" spans="1:14" ht="27.95" customHeight="1" x14ac:dyDescent="0.15">
      <c r="A4" s="6" t="s">
        <v>85</v>
      </c>
      <c r="B4" s="6" t="s">
        <v>86</v>
      </c>
      <c r="C4" s="6" t="s">
        <v>87</v>
      </c>
      <c r="D4" s="6" t="s">
        <v>88</v>
      </c>
      <c r="E4" s="6" t="s">
        <v>367</v>
      </c>
      <c r="F4" s="6" t="s">
        <v>368</v>
      </c>
      <c r="G4" s="6" t="s">
        <v>17</v>
      </c>
      <c r="H4" s="6" t="s">
        <v>19</v>
      </c>
      <c r="I4" s="6" t="s">
        <v>21</v>
      </c>
      <c r="J4" s="6" t="s">
        <v>25</v>
      </c>
      <c r="K4" s="6" t="s">
        <v>369</v>
      </c>
      <c r="L4" s="6" t="s">
        <v>370</v>
      </c>
      <c r="M4" s="6" t="s">
        <v>371</v>
      </c>
      <c r="N4" s="6" t="s">
        <v>372</v>
      </c>
    </row>
    <row r="5" spans="1:14" ht="25.5" x14ac:dyDescent="0.15">
      <c r="A5" s="15" t="s">
        <v>99</v>
      </c>
      <c r="B5" s="16" t="s">
        <v>100</v>
      </c>
      <c r="C5" s="16" t="s">
        <v>101</v>
      </c>
      <c r="D5" s="16" t="s">
        <v>102</v>
      </c>
      <c r="E5" s="16">
        <f>COUNTIF(Checklist!$B$4:$B$65,$A5)</f>
        <v>5</v>
      </c>
      <c r="F5" s="16">
        <f>COUNTIFS(Checklist!$B$4:$B$65,$A5,Checklist!$J$4:$J$65,"&lt;&gt;Yes")</f>
        <v>5</v>
      </c>
      <c r="G5" s="16">
        <f>COUNTIFS(Checklist!$B$4:$B$65,$A5,Checklist!$K$4:$K$65,"Pass")</f>
        <v>5</v>
      </c>
      <c r="H5" s="16">
        <f>COUNTIFS(Checklist!$B$4:$B$65,$A5,Checklist!$K$4:$K$65,"Fail")</f>
        <v>0</v>
      </c>
      <c r="I5" s="16">
        <f>COUNTIFS(Checklist!$B$4:$B$65,$A5,Checklist!$K$4:$K$65,"Blocked")</f>
        <v>0</v>
      </c>
      <c r="J5" s="16">
        <f>COUNTIFS(Checklist!$B$4:$B$65,$A5,Checklist!$K$4:$K$65,"N/A")</f>
        <v>0</v>
      </c>
      <c r="K5" s="16">
        <f t="shared" ref="K5:K32" si="0">E5-G5-H5-I5-J5</f>
        <v>0</v>
      </c>
      <c r="L5" s="16">
        <f>COUNTIFS(Checklist!$B$4:$B$65,$A5,Checklist!$J$4:$J$65,"&lt;&gt;Yes",Checklist!$K$4:$K$65,"&lt;&gt;Pass",Checklist!$K$4:$K$65,"&lt;&gt;N/A")</f>
        <v>0</v>
      </c>
      <c r="M5" s="17">
        <f t="shared" ref="M5:M33" si="1">IF(E5=0,0,(G5+H5+I5+J5)/E5)</f>
        <v>1</v>
      </c>
      <c r="N5" s="16" t="str">
        <f t="shared" ref="N5:N33" si="2">IF(H5&gt;0,"Fail",IF(I5&gt;0,"Blocked",IF(G5+H5+I5+J5=0,IF(F5=0,"Optional","Not started"),IF(L5=0,"Pass","In progress"))))</f>
        <v>Pass</v>
      </c>
    </row>
    <row r="6" spans="1:14" x14ac:dyDescent="0.15">
      <c r="A6" s="15" t="s">
        <v>117</v>
      </c>
      <c r="B6" s="16" t="s">
        <v>118</v>
      </c>
      <c r="C6" s="16" t="s">
        <v>119</v>
      </c>
      <c r="D6" s="16" t="s">
        <v>102</v>
      </c>
      <c r="E6" s="16">
        <f>COUNTIF(Checklist!$B$4:$B$65,$A6)</f>
        <v>3</v>
      </c>
      <c r="F6" s="16">
        <f>COUNTIFS(Checklist!$B$4:$B$65,$A6,Checklist!$J$4:$J$65,"&lt;&gt;Yes")</f>
        <v>3</v>
      </c>
      <c r="G6" s="16">
        <f>COUNTIFS(Checklist!$B$4:$B$65,$A6,Checklist!$K$4:$K$65,"Pass")</f>
        <v>3</v>
      </c>
      <c r="H6" s="16">
        <f>COUNTIFS(Checklist!$B$4:$B$65,$A6,Checklist!$K$4:$K$65,"Fail")</f>
        <v>0</v>
      </c>
      <c r="I6" s="16">
        <f>COUNTIFS(Checklist!$B$4:$B$65,$A6,Checklist!$K$4:$K$65,"Blocked")</f>
        <v>0</v>
      </c>
      <c r="J6" s="16">
        <f>COUNTIFS(Checklist!$B$4:$B$65,$A6,Checklist!$K$4:$K$65,"N/A")</f>
        <v>0</v>
      </c>
      <c r="K6" s="16">
        <f t="shared" si="0"/>
        <v>0</v>
      </c>
      <c r="L6" s="16">
        <f>COUNTIFS(Checklist!$B$4:$B$65,$A6,Checklist!$J$4:$J$65,"&lt;&gt;Yes",Checklist!$K$4:$K$65,"&lt;&gt;Pass",Checklist!$K$4:$K$65,"&lt;&gt;N/A")</f>
        <v>0</v>
      </c>
      <c r="M6" s="17">
        <f t="shared" si="1"/>
        <v>1</v>
      </c>
      <c r="N6" s="16" t="str">
        <f t="shared" si="2"/>
        <v>Pass</v>
      </c>
    </row>
    <row r="7" spans="1:14" x14ac:dyDescent="0.15">
      <c r="A7" s="15" t="s">
        <v>128</v>
      </c>
      <c r="B7" s="16" t="s">
        <v>129</v>
      </c>
      <c r="C7" s="16" t="s">
        <v>130</v>
      </c>
      <c r="D7" s="16" t="s">
        <v>102</v>
      </c>
      <c r="E7" s="16">
        <f>COUNTIF(Checklist!$B$4:$B$65,$A7)</f>
        <v>2</v>
      </c>
      <c r="F7" s="16">
        <f>COUNTIFS(Checklist!$B$4:$B$65,$A7,Checklist!$J$4:$J$65,"&lt;&gt;Yes")</f>
        <v>2</v>
      </c>
      <c r="G7" s="16">
        <f>COUNTIFS(Checklist!$B$4:$B$65,$A7,Checklist!$K$4:$K$65,"Pass")</f>
        <v>2</v>
      </c>
      <c r="H7" s="16">
        <f>COUNTIFS(Checklist!$B$4:$B$65,$A7,Checklist!$K$4:$K$65,"Fail")</f>
        <v>0</v>
      </c>
      <c r="I7" s="16">
        <f>COUNTIFS(Checklist!$B$4:$B$65,$A7,Checklist!$K$4:$K$65,"Blocked")</f>
        <v>0</v>
      </c>
      <c r="J7" s="16">
        <f>COUNTIFS(Checklist!$B$4:$B$65,$A7,Checklist!$K$4:$K$65,"N/A")</f>
        <v>0</v>
      </c>
      <c r="K7" s="16">
        <f t="shared" si="0"/>
        <v>0</v>
      </c>
      <c r="L7" s="16">
        <f>COUNTIFS(Checklist!$B$4:$B$65,$A7,Checklist!$J$4:$J$65,"&lt;&gt;Yes",Checklist!$K$4:$K$65,"&lt;&gt;Pass",Checklist!$K$4:$K$65,"&lt;&gt;N/A")</f>
        <v>0</v>
      </c>
      <c r="M7" s="17">
        <f t="shared" si="1"/>
        <v>1</v>
      </c>
      <c r="N7" s="16" t="str">
        <f t="shared" si="2"/>
        <v>Pass</v>
      </c>
    </row>
    <row r="8" spans="1:14" x14ac:dyDescent="0.15">
      <c r="A8" s="15" t="s">
        <v>138</v>
      </c>
      <c r="B8" s="16" t="s">
        <v>139</v>
      </c>
      <c r="C8" s="16" t="s">
        <v>140</v>
      </c>
      <c r="D8" s="16" t="s">
        <v>102</v>
      </c>
      <c r="E8" s="16">
        <f>COUNTIF(Checklist!$B$4:$B$65,$A8)</f>
        <v>1</v>
      </c>
      <c r="F8" s="16">
        <f>COUNTIFS(Checklist!$B$4:$B$65,$A8,Checklist!$J$4:$J$65,"&lt;&gt;Yes")</f>
        <v>0</v>
      </c>
      <c r="G8" s="16">
        <f>COUNTIFS(Checklist!$B$4:$B$65,$A8,Checklist!$K$4:$K$65,"Pass")</f>
        <v>1</v>
      </c>
      <c r="H8" s="16">
        <f>COUNTIFS(Checklist!$B$4:$B$65,$A8,Checklist!$K$4:$K$65,"Fail")</f>
        <v>0</v>
      </c>
      <c r="I8" s="16">
        <f>COUNTIFS(Checklist!$B$4:$B$65,$A8,Checklist!$K$4:$K$65,"Blocked")</f>
        <v>0</v>
      </c>
      <c r="J8" s="16">
        <f>COUNTIFS(Checklist!$B$4:$B$65,$A8,Checklist!$K$4:$K$65,"N/A")</f>
        <v>0</v>
      </c>
      <c r="K8" s="16">
        <f t="shared" si="0"/>
        <v>0</v>
      </c>
      <c r="L8" s="16">
        <f>COUNTIFS(Checklist!$B$4:$B$65,$A8,Checklist!$J$4:$J$65,"&lt;&gt;Yes",Checklist!$K$4:$K$65,"&lt;&gt;Pass",Checklist!$K$4:$K$65,"&lt;&gt;N/A")</f>
        <v>0</v>
      </c>
      <c r="M8" s="17">
        <f t="shared" si="1"/>
        <v>1</v>
      </c>
      <c r="N8" s="16" t="str">
        <f t="shared" si="2"/>
        <v>Pass</v>
      </c>
    </row>
    <row r="9" spans="1:14" x14ac:dyDescent="0.15">
      <c r="A9" s="15" t="s">
        <v>145</v>
      </c>
      <c r="B9" s="16" t="s">
        <v>146</v>
      </c>
      <c r="C9" s="16" t="s">
        <v>147</v>
      </c>
      <c r="D9" s="16" t="s">
        <v>102</v>
      </c>
      <c r="E9" s="16">
        <f>COUNTIF(Checklist!$B$4:$B$65,$A9)</f>
        <v>2</v>
      </c>
      <c r="F9" s="16">
        <f>COUNTIFS(Checklist!$B$4:$B$65,$A9,Checklist!$J$4:$J$65,"&lt;&gt;Yes")</f>
        <v>2</v>
      </c>
      <c r="G9" s="16">
        <f>COUNTIFS(Checklist!$B$4:$B$65,$A9,Checklist!$K$4:$K$65,"Pass")</f>
        <v>2</v>
      </c>
      <c r="H9" s="16">
        <f>COUNTIFS(Checklist!$B$4:$B$65,$A9,Checklist!$K$4:$K$65,"Fail")</f>
        <v>0</v>
      </c>
      <c r="I9" s="16">
        <f>COUNTIFS(Checklist!$B$4:$B$65,$A9,Checklist!$K$4:$K$65,"Blocked")</f>
        <v>0</v>
      </c>
      <c r="J9" s="16">
        <f>COUNTIFS(Checklist!$B$4:$B$65,$A9,Checklist!$K$4:$K$65,"N/A")</f>
        <v>0</v>
      </c>
      <c r="K9" s="16">
        <f t="shared" si="0"/>
        <v>0</v>
      </c>
      <c r="L9" s="16">
        <f>COUNTIFS(Checklist!$B$4:$B$65,$A9,Checklist!$J$4:$J$65,"&lt;&gt;Yes",Checklist!$K$4:$K$65,"&lt;&gt;Pass",Checklist!$K$4:$K$65,"&lt;&gt;N/A")</f>
        <v>0</v>
      </c>
      <c r="M9" s="17">
        <f t="shared" si="1"/>
        <v>1</v>
      </c>
      <c r="N9" s="16" t="str">
        <f t="shared" si="2"/>
        <v>Pass</v>
      </c>
    </row>
    <row r="10" spans="1:14" x14ac:dyDescent="0.15">
      <c r="A10" s="15" t="s">
        <v>154</v>
      </c>
      <c r="B10" s="16" t="s">
        <v>155</v>
      </c>
      <c r="C10" s="16" t="s">
        <v>156</v>
      </c>
      <c r="D10" s="16" t="s">
        <v>157</v>
      </c>
      <c r="E10" s="16">
        <f>COUNTIF(Checklist!$B$4:$B$65,$A10)</f>
        <v>2</v>
      </c>
      <c r="F10" s="16">
        <f>COUNTIFS(Checklist!$B$4:$B$65,$A10,Checklist!$J$4:$J$65,"&lt;&gt;Yes")</f>
        <v>2</v>
      </c>
      <c r="G10" s="16">
        <f>COUNTIFS(Checklist!$B$4:$B$65,$A10,Checklist!$K$4:$K$65,"Pass")</f>
        <v>2</v>
      </c>
      <c r="H10" s="16">
        <f>COUNTIFS(Checklist!$B$4:$B$65,$A10,Checklist!$K$4:$K$65,"Fail")</f>
        <v>0</v>
      </c>
      <c r="I10" s="16">
        <f>COUNTIFS(Checklist!$B$4:$B$65,$A10,Checklist!$K$4:$K$65,"Blocked")</f>
        <v>0</v>
      </c>
      <c r="J10" s="16">
        <f>COUNTIFS(Checklist!$B$4:$B$65,$A10,Checklist!$K$4:$K$65,"N/A")</f>
        <v>0</v>
      </c>
      <c r="K10" s="16">
        <f t="shared" si="0"/>
        <v>0</v>
      </c>
      <c r="L10" s="16">
        <f>COUNTIFS(Checklist!$B$4:$B$65,$A10,Checklist!$J$4:$J$65,"&lt;&gt;Yes",Checklist!$K$4:$K$65,"&lt;&gt;Pass",Checklist!$K$4:$K$65,"&lt;&gt;N/A")</f>
        <v>0</v>
      </c>
      <c r="M10" s="17">
        <f t="shared" si="1"/>
        <v>1</v>
      </c>
      <c r="N10" s="16" t="str">
        <f t="shared" si="2"/>
        <v>Pass</v>
      </c>
    </row>
    <row r="11" spans="1:14" x14ac:dyDescent="0.15">
      <c r="A11" s="15" t="s">
        <v>164</v>
      </c>
      <c r="B11" s="16" t="s">
        <v>165</v>
      </c>
      <c r="C11" s="16" t="s">
        <v>166</v>
      </c>
      <c r="D11" s="16" t="s">
        <v>102</v>
      </c>
      <c r="E11" s="16">
        <f>COUNTIF(Checklist!$B$4:$B$65,$A11)</f>
        <v>2</v>
      </c>
      <c r="F11" s="16">
        <f>COUNTIFS(Checklist!$B$4:$B$65,$A11,Checklist!$J$4:$J$65,"&lt;&gt;Yes")</f>
        <v>2</v>
      </c>
      <c r="G11" s="16">
        <f>COUNTIFS(Checklist!$B$4:$B$65,$A11,Checklist!$K$4:$K$65,"Pass")</f>
        <v>2</v>
      </c>
      <c r="H11" s="16">
        <f>COUNTIFS(Checklist!$B$4:$B$65,$A11,Checklist!$K$4:$K$65,"Fail")</f>
        <v>0</v>
      </c>
      <c r="I11" s="16">
        <f>COUNTIFS(Checklist!$B$4:$B$65,$A11,Checklist!$K$4:$K$65,"Blocked")</f>
        <v>0</v>
      </c>
      <c r="J11" s="16">
        <f>COUNTIFS(Checklist!$B$4:$B$65,$A11,Checklist!$K$4:$K$65,"N/A")</f>
        <v>0</v>
      </c>
      <c r="K11" s="16">
        <f t="shared" si="0"/>
        <v>0</v>
      </c>
      <c r="L11" s="16">
        <f>COUNTIFS(Checklist!$B$4:$B$65,$A11,Checklist!$J$4:$J$65,"&lt;&gt;Yes",Checklist!$K$4:$K$65,"&lt;&gt;Pass",Checklist!$K$4:$K$65,"&lt;&gt;N/A")</f>
        <v>0</v>
      </c>
      <c r="M11" s="17">
        <f t="shared" si="1"/>
        <v>1</v>
      </c>
      <c r="N11" s="16" t="str">
        <f t="shared" si="2"/>
        <v>Pass</v>
      </c>
    </row>
    <row r="12" spans="1:14" x14ac:dyDescent="0.15">
      <c r="A12" s="15" t="s">
        <v>173</v>
      </c>
      <c r="B12" s="16" t="s">
        <v>174</v>
      </c>
      <c r="C12" s="16" t="s">
        <v>175</v>
      </c>
      <c r="D12" s="16" t="s">
        <v>102</v>
      </c>
      <c r="E12" s="16">
        <f>COUNTIF(Checklist!$B$4:$B$65,$A12)</f>
        <v>2</v>
      </c>
      <c r="F12" s="16">
        <f>COUNTIFS(Checklist!$B$4:$B$65,$A12,Checklist!$J$4:$J$65,"&lt;&gt;Yes")</f>
        <v>2</v>
      </c>
      <c r="G12" s="16">
        <f>COUNTIFS(Checklist!$B$4:$B$65,$A12,Checklist!$K$4:$K$65,"Pass")</f>
        <v>2</v>
      </c>
      <c r="H12" s="16">
        <f>COUNTIFS(Checklist!$B$4:$B$65,$A12,Checklist!$K$4:$K$65,"Fail")</f>
        <v>0</v>
      </c>
      <c r="I12" s="16">
        <f>COUNTIFS(Checklist!$B$4:$B$65,$A12,Checklist!$K$4:$K$65,"Blocked")</f>
        <v>0</v>
      </c>
      <c r="J12" s="16">
        <f>COUNTIFS(Checklist!$B$4:$B$65,$A12,Checklist!$K$4:$K$65,"N/A")</f>
        <v>0</v>
      </c>
      <c r="K12" s="16">
        <f t="shared" si="0"/>
        <v>0</v>
      </c>
      <c r="L12" s="16">
        <f>COUNTIFS(Checklist!$B$4:$B$65,$A12,Checklist!$J$4:$J$65,"&lt;&gt;Yes",Checklist!$K$4:$K$65,"&lt;&gt;Pass",Checklist!$K$4:$K$65,"&lt;&gt;N/A")</f>
        <v>0</v>
      </c>
      <c r="M12" s="17">
        <f t="shared" si="1"/>
        <v>1</v>
      </c>
      <c r="N12" s="16" t="str">
        <f t="shared" si="2"/>
        <v>Pass</v>
      </c>
    </row>
    <row r="13" spans="1:14" x14ac:dyDescent="0.15">
      <c r="A13" s="15" t="s">
        <v>182</v>
      </c>
      <c r="B13" s="16" t="s">
        <v>183</v>
      </c>
      <c r="C13" s="16" t="s">
        <v>184</v>
      </c>
      <c r="D13" s="16" t="s">
        <v>102</v>
      </c>
      <c r="E13" s="16">
        <f>COUNTIF(Checklist!$B$4:$B$65,$A13)</f>
        <v>2</v>
      </c>
      <c r="F13" s="16">
        <f>COUNTIFS(Checklist!$B$4:$B$65,$A13,Checklist!$J$4:$J$65,"&lt;&gt;Yes")</f>
        <v>2</v>
      </c>
      <c r="G13" s="16">
        <f>COUNTIFS(Checklist!$B$4:$B$65,$A13,Checklist!$K$4:$K$65,"Pass")</f>
        <v>2</v>
      </c>
      <c r="H13" s="16">
        <f>COUNTIFS(Checklist!$B$4:$B$65,$A13,Checklist!$K$4:$K$65,"Fail")</f>
        <v>0</v>
      </c>
      <c r="I13" s="16">
        <f>COUNTIFS(Checklist!$B$4:$B$65,$A13,Checklist!$K$4:$K$65,"Blocked")</f>
        <v>0</v>
      </c>
      <c r="J13" s="16">
        <f>COUNTIFS(Checklist!$B$4:$B$65,$A13,Checklist!$K$4:$K$65,"N/A")</f>
        <v>0</v>
      </c>
      <c r="K13" s="16">
        <f t="shared" si="0"/>
        <v>0</v>
      </c>
      <c r="L13" s="16">
        <f>COUNTIFS(Checklist!$B$4:$B$65,$A13,Checklist!$J$4:$J$65,"&lt;&gt;Yes",Checklist!$K$4:$K$65,"&lt;&gt;Pass",Checklist!$K$4:$K$65,"&lt;&gt;N/A")</f>
        <v>0</v>
      </c>
      <c r="M13" s="17">
        <f t="shared" si="1"/>
        <v>1</v>
      </c>
      <c r="N13" s="16" t="str">
        <f t="shared" si="2"/>
        <v>Pass</v>
      </c>
    </row>
    <row r="14" spans="1:14" x14ac:dyDescent="0.15">
      <c r="A14" s="15" t="s">
        <v>191</v>
      </c>
      <c r="B14" s="16" t="s">
        <v>192</v>
      </c>
      <c r="C14" s="16" t="s">
        <v>193</v>
      </c>
      <c r="D14" s="16" t="s">
        <v>102</v>
      </c>
      <c r="E14" s="16">
        <f>COUNTIF(Checklist!$B$4:$B$65,$A14)</f>
        <v>1</v>
      </c>
      <c r="F14" s="16">
        <f>COUNTIFS(Checklist!$B$4:$B$65,$A14,Checklist!$J$4:$J$65,"&lt;&gt;Yes")</f>
        <v>1</v>
      </c>
      <c r="G14" s="16">
        <f>COUNTIFS(Checklist!$B$4:$B$65,$A14,Checklist!$K$4:$K$65,"Pass")</f>
        <v>1</v>
      </c>
      <c r="H14" s="16">
        <f>COUNTIFS(Checklist!$B$4:$B$65,$A14,Checklist!$K$4:$K$65,"Fail")</f>
        <v>0</v>
      </c>
      <c r="I14" s="16">
        <f>COUNTIFS(Checklist!$B$4:$B$65,$A14,Checklist!$K$4:$K$65,"Blocked")</f>
        <v>0</v>
      </c>
      <c r="J14" s="16">
        <f>COUNTIFS(Checklist!$B$4:$B$65,$A14,Checklist!$K$4:$K$65,"N/A")</f>
        <v>0</v>
      </c>
      <c r="K14" s="16">
        <f t="shared" si="0"/>
        <v>0</v>
      </c>
      <c r="L14" s="16">
        <f>COUNTIFS(Checklist!$B$4:$B$65,$A14,Checklist!$J$4:$J$65,"&lt;&gt;Yes",Checklist!$K$4:$K$65,"&lt;&gt;Pass",Checklist!$K$4:$K$65,"&lt;&gt;N/A")</f>
        <v>0</v>
      </c>
      <c r="M14" s="17">
        <f t="shared" si="1"/>
        <v>1</v>
      </c>
      <c r="N14" s="16" t="str">
        <f t="shared" si="2"/>
        <v>Pass</v>
      </c>
    </row>
    <row r="15" spans="1:14" x14ac:dyDescent="0.15">
      <c r="A15" s="15" t="s">
        <v>198</v>
      </c>
      <c r="B15" s="16" t="s">
        <v>199</v>
      </c>
      <c r="C15" s="16" t="s">
        <v>200</v>
      </c>
      <c r="D15" s="16" t="s">
        <v>102</v>
      </c>
      <c r="E15" s="16">
        <f>COUNTIF(Checklist!$B$4:$B$65,$A15)</f>
        <v>2</v>
      </c>
      <c r="F15" s="16">
        <f>COUNTIFS(Checklist!$B$4:$B$65,$A15,Checklist!$J$4:$J$65,"&lt;&gt;Yes")</f>
        <v>0</v>
      </c>
      <c r="G15" s="16">
        <f>COUNTIFS(Checklist!$B$4:$B$65,$A15,Checklist!$K$4:$K$65,"Pass")</f>
        <v>2</v>
      </c>
      <c r="H15" s="16">
        <f>COUNTIFS(Checklist!$B$4:$B$65,$A15,Checklist!$K$4:$K$65,"Fail")</f>
        <v>0</v>
      </c>
      <c r="I15" s="16">
        <f>COUNTIFS(Checklist!$B$4:$B$65,$A15,Checklist!$K$4:$K$65,"Blocked")</f>
        <v>0</v>
      </c>
      <c r="J15" s="16">
        <f>COUNTIFS(Checklist!$B$4:$B$65,$A15,Checklist!$K$4:$K$65,"N/A")</f>
        <v>0</v>
      </c>
      <c r="K15" s="16">
        <f t="shared" si="0"/>
        <v>0</v>
      </c>
      <c r="L15" s="16">
        <f>COUNTIFS(Checklist!$B$4:$B$65,$A15,Checklist!$J$4:$J$65,"&lt;&gt;Yes",Checklist!$K$4:$K$65,"&lt;&gt;Pass",Checklist!$K$4:$K$65,"&lt;&gt;N/A")</f>
        <v>0</v>
      </c>
      <c r="M15" s="17">
        <f t="shared" si="1"/>
        <v>1</v>
      </c>
      <c r="N15" s="16" t="str">
        <f t="shared" si="2"/>
        <v>Pass</v>
      </c>
    </row>
    <row r="16" spans="1:14" x14ac:dyDescent="0.15">
      <c r="A16" s="15" t="s">
        <v>208</v>
      </c>
      <c r="B16" s="16" t="s">
        <v>209</v>
      </c>
      <c r="C16" s="16" t="s">
        <v>210</v>
      </c>
      <c r="D16" s="16" t="s">
        <v>211</v>
      </c>
      <c r="E16" s="16">
        <f>COUNTIF(Checklist!$B$4:$B$65,$A16)</f>
        <v>4</v>
      </c>
      <c r="F16" s="16">
        <f>COUNTIFS(Checklist!$B$4:$B$65,$A16,Checklist!$J$4:$J$65,"&lt;&gt;Yes")</f>
        <v>4</v>
      </c>
      <c r="G16" s="16">
        <f>COUNTIFS(Checklist!$B$4:$B$65,$A16,Checklist!$K$4:$K$65,"Pass")</f>
        <v>4</v>
      </c>
      <c r="H16" s="16">
        <f>COUNTIFS(Checklist!$B$4:$B$65,$A16,Checklist!$K$4:$K$65,"Fail")</f>
        <v>0</v>
      </c>
      <c r="I16" s="16">
        <f>COUNTIFS(Checklist!$B$4:$B$65,$A16,Checklist!$K$4:$K$65,"Blocked")</f>
        <v>0</v>
      </c>
      <c r="J16" s="16">
        <f>COUNTIFS(Checklist!$B$4:$B$65,$A16,Checklist!$K$4:$K$65,"N/A")</f>
        <v>0</v>
      </c>
      <c r="K16" s="16">
        <f t="shared" si="0"/>
        <v>0</v>
      </c>
      <c r="L16" s="16">
        <f>COUNTIFS(Checklist!$B$4:$B$65,$A16,Checklist!$J$4:$J$65,"&lt;&gt;Yes",Checklist!$K$4:$K$65,"&lt;&gt;Pass",Checklist!$K$4:$K$65,"&lt;&gt;N/A")</f>
        <v>0</v>
      </c>
      <c r="M16" s="17">
        <f t="shared" si="1"/>
        <v>1</v>
      </c>
      <c r="N16" s="16" t="str">
        <f t="shared" si="2"/>
        <v>Pass</v>
      </c>
    </row>
    <row r="17" spans="1:14" x14ac:dyDescent="0.15">
      <c r="A17" s="15" t="s">
        <v>223</v>
      </c>
      <c r="B17" s="16" t="s">
        <v>224</v>
      </c>
      <c r="C17" s="16" t="s">
        <v>225</v>
      </c>
      <c r="D17" s="16" t="s">
        <v>211</v>
      </c>
      <c r="E17" s="16">
        <f>COUNTIF(Checklist!$B$4:$B$65,$A17)</f>
        <v>1</v>
      </c>
      <c r="F17" s="16">
        <f>COUNTIFS(Checklist!$B$4:$B$65,$A17,Checklist!$J$4:$J$65,"&lt;&gt;Yes")</f>
        <v>1</v>
      </c>
      <c r="G17" s="16">
        <f>COUNTIFS(Checklist!$B$4:$B$65,$A17,Checklist!$K$4:$K$65,"Pass")</f>
        <v>1</v>
      </c>
      <c r="H17" s="16">
        <f>COUNTIFS(Checklist!$B$4:$B$65,$A17,Checklist!$K$4:$K$65,"Fail")</f>
        <v>0</v>
      </c>
      <c r="I17" s="16">
        <f>COUNTIFS(Checklist!$B$4:$B$65,$A17,Checklist!$K$4:$K$65,"Blocked")</f>
        <v>0</v>
      </c>
      <c r="J17" s="16">
        <f>COUNTIFS(Checklist!$B$4:$B$65,$A17,Checklist!$K$4:$K$65,"N/A")</f>
        <v>0</v>
      </c>
      <c r="K17" s="16">
        <f t="shared" si="0"/>
        <v>0</v>
      </c>
      <c r="L17" s="16">
        <f>COUNTIFS(Checklist!$B$4:$B$65,$A17,Checklist!$J$4:$J$65,"&lt;&gt;Yes",Checklist!$K$4:$K$65,"&lt;&gt;Pass",Checklist!$K$4:$K$65,"&lt;&gt;N/A")</f>
        <v>0</v>
      </c>
      <c r="M17" s="17">
        <f t="shared" si="1"/>
        <v>1</v>
      </c>
      <c r="N17" s="16" t="str">
        <f t="shared" si="2"/>
        <v>Pass</v>
      </c>
    </row>
    <row r="18" spans="1:14" x14ac:dyDescent="0.15">
      <c r="A18" s="15" t="s">
        <v>229</v>
      </c>
      <c r="B18" s="16" t="s">
        <v>230</v>
      </c>
      <c r="C18" s="16" t="s">
        <v>231</v>
      </c>
      <c r="D18" s="16" t="s">
        <v>211</v>
      </c>
      <c r="E18" s="16">
        <f>COUNTIF(Checklist!$B$4:$B$65,$A18)</f>
        <v>3</v>
      </c>
      <c r="F18" s="16">
        <f>COUNTIFS(Checklist!$B$4:$B$65,$A18,Checklist!$J$4:$J$65,"&lt;&gt;Yes")</f>
        <v>3</v>
      </c>
      <c r="G18" s="16">
        <f>COUNTIFS(Checklist!$B$4:$B$65,$A18,Checklist!$K$4:$K$65,"Pass")</f>
        <v>3</v>
      </c>
      <c r="H18" s="16">
        <f>COUNTIFS(Checklist!$B$4:$B$65,$A18,Checklist!$K$4:$K$65,"Fail")</f>
        <v>0</v>
      </c>
      <c r="I18" s="16">
        <f>COUNTIFS(Checklist!$B$4:$B$65,$A18,Checklist!$K$4:$K$65,"Blocked")</f>
        <v>0</v>
      </c>
      <c r="J18" s="16">
        <f>COUNTIFS(Checklist!$B$4:$B$65,$A18,Checklist!$K$4:$K$65,"N/A")</f>
        <v>0</v>
      </c>
      <c r="K18" s="16">
        <f t="shared" si="0"/>
        <v>0</v>
      </c>
      <c r="L18" s="16">
        <f>COUNTIFS(Checklist!$B$4:$B$65,$A18,Checklist!$J$4:$J$65,"&lt;&gt;Yes",Checklist!$K$4:$K$65,"&lt;&gt;Pass",Checklist!$K$4:$K$65,"&lt;&gt;N/A")</f>
        <v>0</v>
      </c>
      <c r="M18" s="17">
        <f t="shared" si="1"/>
        <v>1</v>
      </c>
      <c r="N18" s="16" t="str">
        <f t="shared" si="2"/>
        <v>Pass</v>
      </c>
    </row>
    <row r="19" spans="1:14" x14ac:dyDescent="0.15">
      <c r="A19" s="15" t="s">
        <v>241</v>
      </c>
      <c r="B19" s="16" t="s">
        <v>242</v>
      </c>
      <c r="C19" s="16" t="s">
        <v>243</v>
      </c>
      <c r="D19" s="16" t="s">
        <v>211</v>
      </c>
      <c r="E19" s="16">
        <f>COUNTIF(Checklist!$B$4:$B$65,$A19)</f>
        <v>3</v>
      </c>
      <c r="F19" s="16">
        <f>COUNTIFS(Checklist!$B$4:$B$65,$A19,Checklist!$J$4:$J$65,"&lt;&gt;Yes")</f>
        <v>3</v>
      </c>
      <c r="G19" s="16">
        <f>COUNTIFS(Checklist!$B$4:$B$65,$A19,Checklist!$K$4:$K$65,"Pass")</f>
        <v>2</v>
      </c>
      <c r="H19" s="16">
        <f>COUNTIFS(Checklist!$B$4:$B$65,$A19,Checklist!$K$4:$K$65,"Fail")</f>
        <v>1</v>
      </c>
      <c r="I19" s="16">
        <f>COUNTIFS(Checklist!$B$4:$B$65,$A19,Checklist!$K$4:$K$65,"Blocked")</f>
        <v>0</v>
      </c>
      <c r="J19" s="16">
        <f>COUNTIFS(Checklist!$B$4:$B$65,$A19,Checklist!$K$4:$K$65,"N/A")</f>
        <v>0</v>
      </c>
      <c r="K19" s="16">
        <f t="shared" si="0"/>
        <v>0</v>
      </c>
      <c r="L19" s="16">
        <f>COUNTIFS(Checklist!$B$4:$B$65,$A19,Checklist!$J$4:$J$65,"&lt;&gt;Yes",Checklist!$K$4:$K$65,"&lt;&gt;Pass",Checklist!$K$4:$K$65,"&lt;&gt;N/A")</f>
        <v>1</v>
      </c>
      <c r="M19" s="17">
        <f t="shared" si="1"/>
        <v>1</v>
      </c>
      <c r="N19" s="16" t="str">
        <f t="shared" si="2"/>
        <v>Fail</v>
      </c>
    </row>
    <row r="20" spans="1:14" x14ac:dyDescent="0.15">
      <c r="A20" s="15" t="s">
        <v>252</v>
      </c>
      <c r="B20" s="16" t="s">
        <v>253</v>
      </c>
      <c r="C20" s="16" t="s">
        <v>254</v>
      </c>
      <c r="D20" s="16" t="s">
        <v>211</v>
      </c>
      <c r="E20" s="16">
        <f>COUNTIF(Checklist!$B$4:$B$65,$A20)</f>
        <v>1</v>
      </c>
      <c r="F20" s="16">
        <f>COUNTIFS(Checklist!$B$4:$B$65,$A20,Checklist!$J$4:$J$65,"&lt;&gt;Yes")</f>
        <v>1</v>
      </c>
      <c r="G20" s="16">
        <f>COUNTIFS(Checklist!$B$4:$B$65,$A20,Checklist!$K$4:$K$65,"Pass")</f>
        <v>1</v>
      </c>
      <c r="H20" s="16">
        <f>COUNTIFS(Checklist!$B$4:$B$65,$A20,Checklist!$K$4:$K$65,"Fail")</f>
        <v>0</v>
      </c>
      <c r="I20" s="16">
        <f>COUNTIFS(Checklist!$B$4:$B$65,$A20,Checklist!$K$4:$K$65,"Blocked")</f>
        <v>0</v>
      </c>
      <c r="J20" s="16">
        <f>COUNTIFS(Checklist!$B$4:$B$65,$A20,Checklist!$K$4:$K$65,"N/A")</f>
        <v>0</v>
      </c>
      <c r="K20" s="16">
        <f t="shared" si="0"/>
        <v>0</v>
      </c>
      <c r="L20" s="16">
        <f>COUNTIFS(Checklist!$B$4:$B$65,$A20,Checklist!$J$4:$J$65,"&lt;&gt;Yes",Checklist!$K$4:$K$65,"&lt;&gt;Pass",Checklist!$K$4:$K$65,"&lt;&gt;N/A")</f>
        <v>0</v>
      </c>
      <c r="M20" s="17">
        <f t="shared" si="1"/>
        <v>1</v>
      </c>
      <c r="N20" s="16" t="str">
        <f t="shared" si="2"/>
        <v>Pass</v>
      </c>
    </row>
    <row r="21" spans="1:14" x14ac:dyDescent="0.15">
      <c r="A21" s="15" t="s">
        <v>258</v>
      </c>
      <c r="B21" s="16" t="s">
        <v>259</v>
      </c>
      <c r="C21" s="16" t="s">
        <v>260</v>
      </c>
      <c r="D21" s="16" t="s">
        <v>211</v>
      </c>
      <c r="E21" s="16">
        <f>COUNTIF(Checklist!$B$4:$B$65,$A21)</f>
        <v>3</v>
      </c>
      <c r="F21" s="16">
        <f>COUNTIFS(Checklist!$B$4:$B$65,$A21,Checklist!$J$4:$J$65,"&lt;&gt;Yes")</f>
        <v>3</v>
      </c>
      <c r="G21" s="16">
        <f>COUNTIFS(Checklist!$B$4:$B$65,$A21,Checklist!$K$4:$K$65,"Pass")</f>
        <v>3</v>
      </c>
      <c r="H21" s="16">
        <f>COUNTIFS(Checklist!$B$4:$B$65,$A21,Checklist!$K$4:$K$65,"Fail")</f>
        <v>0</v>
      </c>
      <c r="I21" s="16">
        <f>COUNTIFS(Checklist!$B$4:$B$65,$A21,Checklist!$K$4:$K$65,"Blocked")</f>
        <v>0</v>
      </c>
      <c r="J21" s="16">
        <f>COUNTIFS(Checklist!$B$4:$B$65,$A21,Checklist!$K$4:$K$65,"N/A")</f>
        <v>0</v>
      </c>
      <c r="K21" s="16">
        <f t="shared" si="0"/>
        <v>0</v>
      </c>
      <c r="L21" s="16">
        <f>COUNTIFS(Checklist!$B$4:$B$65,$A21,Checklist!$J$4:$J$65,"&lt;&gt;Yes",Checklist!$K$4:$K$65,"&lt;&gt;Pass",Checklist!$K$4:$K$65,"&lt;&gt;N/A")</f>
        <v>0</v>
      </c>
      <c r="M21" s="17">
        <f t="shared" si="1"/>
        <v>1</v>
      </c>
      <c r="N21" s="16" t="str">
        <f t="shared" si="2"/>
        <v>Pass</v>
      </c>
    </row>
    <row r="22" spans="1:14" x14ac:dyDescent="0.15">
      <c r="A22" s="15" t="s">
        <v>271</v>
      </c>
      <c r="B22" s="16" t="s">
        <v>272</v>
      </c>
      <c r="C22" s="16" t="s">
        <v>273</v>
      </c>
      <c r="D22" s="16" t="s">
        <v>211</v>
      </c>
      <c r="E22" s="16">
        <f>COUNTIF(Checklist!$B$4:$B$65,$A22)</f>
        <v>1</v>
      </c>
      <c r="F22" s="16">
        <f>COUNTIFS(Checklist!$B$4:$B$65,$A22,Checklist!$J$4:$J$65,"&lt;&gt;Yes")</f>
        <v>1</v>
      </c>
      <c r="G22" s="16">
        <f>COUNTIFS(Checklist!$B$4:$B$65,$A22,Checklist!$K$4:$K$65,"Pass")</f>
        <v>1</v>
      </c>
      <c r="H22" s="16">
        <f>COUNTIFS(Checklist!$B$4:$B$65,$A22,Checklist!$K$4:$K$65,"Fail")</f>
        <v>0</v>
      </c>
      <c r="I22" s="16">
        <f>COUNTIFS(Checklist!$B$4:$B$65,$A22,Checklist!$K$4:$K$65,"Blocked")</f>
        <v>0</v>
      </c>
      <c r="J22" s="16">
        <f>COUNTIFS(Checklist!$B$4:$B$65,$A22,Checklist!$K$4:$K$65,"N/A")</f>
        <v>0</v>
      </c>
      <c r="K22" s="16">
        <f t="shared" si="0"/>
        <v>0</v>
      </c>
      <c r="L22" s="16">
        <f>COUNTIFS(Checklist!$B$4:$B$65,$A22,Checklist!$J$4:$J$65,"&lt;&gt;Yes",Checklist!$K$4:$K$65,"&lt;&gt;Pass",Checklist!$K$4:$K$65,"&lt;&gt;N/A")</f>
        <v>0</v>
      </c>
      <c r="M22" s="17">
        <f t="shared" si="1"/>
        <v>1</v>
      </c>
      <c r="N22" s="16" t="str">
        <f t="shared" si="2"/>
        <v>Pass</v>
      </c>
    </row>
    <row r="23" spans="1:14" ht="25.5" x14ac:dyDescent="0.15">
      <c r="A23" s="15" t="s">
        <v>278</v>
      </c>
      <c r="B23" s="16" t="s">
        <v>279</v>
      </c>
      <c r="C23" s="16" t="s">
        <v>280</v>
      </c>
      <c r="D23" s="16" t="s">
        <v>211</v>
      </c>
      <c r="E23" s="16">
        <f>COUNTIF(Checklist!$B$4:$B$65,$A23)</f>
        <v>5</v>
      </c>
      <c r="F23" s="16">
        <f>COUNTIFS(Checklist!$B$4:$B$65,$A23,Checklist!$J$4:$J$65,"&lt;&gt;Yes")</f>
        <v>5</v>
      </c>
      <c r="G23" s="16">
        <f>COUNTIFS(Checklist!$B$4:$B$65,$A23,Checklist!$K$4:$K$65,"Pass")</f>
        <v>5</v>
      </c>
      <c r="H23" s="16">
        <f>COUNTIFS(Checklist!$B$4:$B$65,$A23,Checklist!$K$4:$K$65,"Fail")</f>
        <v>0</v>
      </c>
      <c r="I23" s="16">
        <f>COUNTIFS(Checklist!$B$4:$B$65,$A23,Checklist!$K$4:$K$65,"Blocked")</f>
        <v>0</v>
      </c>
      <c r="J23" s="16">
        <f>COUNTIFS(Checklist!$B$4:$B$65,$A23,Checklist!$K$4:$K$65,"N/A")</f>
        <v>0</v>
      </c>
      <c r="K23" s="16">
        <f t="shared" si="0"/>
        <v>0</v>
      </c>
      <c r="L23" s="16">
        <f>COUNTIFS(Checklist!$B$4:$B$65,$A23,Checklist!$J$4:$J$65,"&lt;&gt;Yes",Checklist!$K$4:$K$65,"&lt;&gt;Pass",Checklist!$K$4:$K$65,"&lt;&gt;N/A")</f>
        <v>0</v>
      </c>
      <c r="M23" s="17">
        <f t="shared" si="1"/>
        <v>1</v>
      </c>
      <c r="N23" s="16" t="str">
        <f t="shared" si="2"/>
        <v>Pass</v>
      </c>
    </row>
    <row r="24" spans="1:14" x14ac:dyDescent="0.15">
      <c r="A24" s="15" t="s">
        <v>295</v>
      </c>
      <c r="B24" s="16" t="s">
        <v>296</v>
      </c>
      <c r="C24" s="16" t="s">
        <v>297</v>
      </c>
      <c r="D24" s="16" t="s">
        <v>102</v>
      </c>
      <c r="E24" s="16">
        <f>COUNTIF(Checklist!$B$4:$B$65,$A24)</f>
        <v>1</v>
      </c>
      <c r="F24" s="16">
        <f>COUNTIFS(Checklist!$B$4:$B$65,$A24,Checklist!$J$4:$J$65,"&lt;&gt;Yes")</f>
        <v>0</v>
      </c>
      <c r="G24" s="16">
        <f>COUNTIFS(Checklist!$B$4:$B$65,$A24,Checklist!$K$4:$K$65,"Pass")</f>
        <v>1</v>
      </c>
      <c r="H24" s="16">
        <f>COUNTIFS(Checklist!$B$4:$B$65,$A24,Checklist!$K$4:$K$65,"Fail")</f>
        <v>0</v>
      </c>
      <c r="I24" s="16">
        <f>COUNTIFS(Checklist!$B$4:$B$65,$A24,Checklist!$K$4:$K$65,"Blocked")</f>
        <v>0</v>
      </c>
      <c r="J24" s="16">
        <f>COUNTIFS(Checklist!$B$4:$B$65,$A24,Checklist!$K$4:$K$65,"N/A")</f>
        <v>0</v>
      </c>
      <c r="K24" s="16">
        <f t="shared" si="0"/>
        <v>0</v>
      </c>
      <c r="L24" s="16">
        <f>COUNTIFS(Checklist!$B$4:$B$65,$A24,Checklist!$J$4:$J$65,"&lt;&gt;Yes",Checklist!$K$4:$K$65,"&lt;&gt;Pass",Checklist!$K$4:$K$65,"&lt;&gt;N/A")</f>
        <v>0</v>
      </c>
      <c r="M24" s="17">
        <f t="shared" si="1"/>
        <v>1</v>
      </c>
      <c r="N24" s="16" t="str">
        <f t="shared" si="2"/>
        <v>Pass</v>
      </c>
    </row>
    <row r="25" spans="1:14" x14ac:dyDescent="0.15">
      <c r="A25" s="15" t="s">
        <v>301</v>
      </c>
      <c r="B25" s="16" t="s">
        <v>302</v>
      </c>
      <c r="C25" s="16" t="s">
        <v>303</v>
      </c>
      <c r="D25" s="16" t="s">
        <v>102</v>
      </c>
      <c r="E25" s="16">
        <f>COUNTIF(Checklist!$B$4:$B$65,$A25)</f>
        <v>3</v>
      </c>
      <c r="F25" s="16">
        <f>COUNTIFS(Checklist!$B$4:$B$65,$A25,Checklist!$J$4:$J$65,"&lt;&gt;Yes")</f>
        <v>0</v>
      </c>
      <c r="G25" s="16">
        <f>COUNTIFS(Checklist!$B$4:$B$65,$A25,Checklist!$K$4:$K$65,"Pass")</f>
        <v>3</v>
      </c>
      <c r="H25" s="16">
        <f>COUNTIFS(Checklist!$B$4:$B$65,$A25,Checklist!$K$4:$K$65,"Fail")</f>
        <v>0</v>
      </c>
      <c r="I25" s="16">
        <f>COUNTIFS(Checklist!$B$4:$B$65,$A25,Checklist!$K$4:$K$65,"Blocked")</f>
        <v>0</v>
      </c>
      <c r="J25" s="16">
        <f>COUNTIFS(Checklist!$B$4:$B$65,$A25,Checklist!$K$4:$K$65,"N/A")</f>
        <v>0</v>
      </c>
      <c r="K25" s="16">
        <f t="shared" si="0"/>
        <v>0</v>
      </c>
      <c r="L25" s="16">
        <f>COUNTIFS(Checklist!$B$4:$B$65,$A25,Checklist!$J$4:$J$65,"&lt;&gt;Yes",Checklist!$K$4:$K$65,"&lt;&gt;Pass",Checklist!$K$4:$K$65,"&lt;&gt;N/A")</f>
        <v>0</v>
      </c>
      <c r="M25" s="17">
        <f t="shared" si="1"/>
        <v>1</v>
      </c>
      <c r="N25" s="16" t="str">
        <f t="shared" si="2"/>
        <v>Pass</v>
      </c>
    </row>
    <row r="26" spans="1:14" x14ac:dyDescent="0.15">
      <c r="A26" s="15" t="s">
        <v>316</v>
      </c>
      <c r="B26" s="16" t="s">
        <v>317</v>
      </c>
      <c r="C26" s="16" t="s">
        <v>318</v>
      </c>
      <c r="D26" s="16" t="s">
        <v>157</v>
      </c>
      <c r="E26" s="16">
        <f>COUNTIF(Checklist!$B$4:$B$65,$A26)</f>
        <v>1</v>
      </c>
      <c r="F26" s="16">
        <f>COUNTIFS(Checklist!$B$4:$B$65,$A26,Checklist!$J$4:$J$65,"&lt;&gt;Yes")</f>
        <v>1</v>
      </c>
      <c r="G26" s="16">
        <f>COUNTIFS(Checklist!$B$4:$B$65,$A26,Checklist!$K$4:$K$65,"Pass")</f>
        <v>1</v>
      </c>
      <c r="H26" s="16">
        <f>COUNTIFS(Checklist!$B$4:$B$65,$A26,Checklist!$K$4:$K$65,"Fail")</f>
        <v>0</v>
      </c>
      <c r="I26" s="16">
        <f>COUNTIFS(Checklist!$B$4:$B$65,$A26,Checklist!$K$4:$K$65,"Blocked")</f>
        <v>0</v>
      </c>
      <c r="J26" s="16">
        <f>COUNTIFS(Checklist!$B$4:$B$65,$A26,Checklist!$K$4:$K$65,"N/A")</f>
        <v>0</v>
      </c>
      <c r="K26" s="16">
        <f t="shared" si="0"/>
        <v>0</v>
      </c>
      <c r="L26" s="16">
        <f>COUNTIFS(Checklist!$B$4:$B$65,$A26,Checklist!$J$4:$J$65,"&lt;&gt;Yes",Checklist!$K$4:$K$65,"&lt;&gt;Pass",Checklist!$K$4:$K$65,"&lt;&gt;N/A")</f>
        <v>0</v>
      </c>
      <c r="M26" s="17">
        <f t="shared" si="1"/>
        <v>1</v>
      </c>
      <c r="N26" s="16" t="str">
        <f t="shared" si="2"/>
        <v>Pass</v>
      </c>
    </row>
    <row r="27" spans="1:14" x14ac:dyDescent="0.15">
      <c r="A27" s="15" t="s">
        <v>323</v>
      </c>
      <c r="B27" s="16" t="s">
        <v>324</v>
      </c>
      <c r="C27" s="16" t="s">
        <v>325</v>
      </c>
      <c r="D27" s="16" t="s">
        <v>102</v>
      </c>
      <c r="E27" s="16">
        <f>COUNTIF(Checklist!$B$4:$B$65,$A27)</f>
        <v>1</v>
      </c>
      <c r="F27" s="16">
        <f>COUNTIFS(Checklist!$B$4:$B$65,$A27,Checklist!$J$4:$J$65,"&lt;&gt;Yes")</f>
        <v>1</v>
      </c>
      <c r="G27" s="16">
        <f>COUNTIFS(Checklist!$B$4:$B$65,$A27,Checklist!$K$4:$K$65,"Pass")</f>
        <v>1</v>
      </c>
      <c r="H27" s="16">
        <f>COUNTIFS(Checklist!$B$4:$B$65,$A27,Checklist!$K$4:$K$65,"Fail")</f>
        <v>0</v>
      </c>
      <c r="I27" s="16">
        <f>COUNTIFS(Checklist!$B$4:$B$65,$A27,Checklist!$K$4:$K$65,"Blocked")</f>
        <v>0</v>
      </c>
      <c r="J27" s="16">
        <f>COUNTIFS(Checklist!$B$4:$B$65,$A27,Checklist!$K$4:$K$65,"N/A")</f>
        <v>0</v>
      </c>
      <c r="K27" s="16">
        <f t="shared" si="0"/>
        <v>0</v>
      </c>
      <c r="L27" s="16">
        <f>COUNTIFS(Checklist!$B$4:$B$65,$A27,Checklist!$J$4:$J$65,"&lt;&gt;Yes",Checklist!$K$4:$K$65,"&lt;&gt;Pass",Checklist!$K$4:$K$65,"&lt;&gt;N/A")</f>
        <v>0</v>
      </c>
      <c r="M27" s="17">
        <f t="shared" si="1"/>
        <v>1</v>
      </c>
      <c r="N27" s="16" t="str">
        <f t="shared" si="2"/>
        <v>Pass</v>
      </c>
    </row>
    <row r="28" spans="1:14" x14ac:dyDescent="0.15">
      <c r="A28" s="15" t="s">
        <v>329</v>
      </c>
      <c r="B28" s="16" t="s">
        <v>330</v>
      </c>
      <c r="C28" s="16" t="s">
        <v>331</v>
      </c>
      <c r="D28" s="16" t="s">
        <v>102</v>
      </c>
      <c r="E28" s="16">
        <f>COUNTIF(Checklist!$B$4:$B$65,$A28)</f>
        <v>3</v>
      </c>
      <c r="F28" s="16">
        <f>COUNTIFS(Checklist!$B$4:$B$65,$A28,Checklist!$J$4:$J$65,"&lt;&gt;Yes")</f>
        <v>3</v>
      </c>
      <c r="G28" s="16">
        <f>COUNTIFS(Checklist!$B$4:$B$65,$A28,Checklist!$K$4:$K$65,"Pass")</f>
        <v>3</v>
      </c>
      <c r="H28" s="16">
        <f>COUNTIFS(Checklist!$B$4:$B$65,$A28,Checklist!$K$4:$K$65,"Fail")</f>
        <v>0</v>
      </c>
      <c r="I28" s="16">
        <f>COUNTIFS(Checklist!$B$4:$B$65,$A28,Checklist!$K$4:$K$65,"Blocked")</f>
        <v>0</v>
      </c>
      <c r="J28" s="16">
        <f>COUNTIFS(Checklist!$B$4:$B$65,$A28,Checklist!$K$4:$K$65,"N/A")</f>
        <v>0</v>
      </c>
      <c r="K28" s="16">
        <f t="shared" si="0"/>
        <v>0</v>
      </c>
      <c r="L28" s="16">
        <f>COUNTIFS(Checklist!$B$4:$B$65,$A28,Checklist!$J$4:$J$65,"&lt;&gt;Yes",Checklist!$K$4:$K$65,"&lt;&gt;Pass",Checklist!$K$4:$K$65,"&lt;&gt;N/A")</f>
        <v>0</v>
      </c>
      <c r="M28" s="17">
        <f t="shared" si="1"/>
        <v>1</v>
      </c>
      <c r="N28" s="16" t="str">
        <f t="shared" si="2"/>
        <v>Pass</v>
      </c>
    </row>
    <row r="29" spans="1:14" x14ac:dyDescent="0.15">
      <c r="A29" s="15" t="s">
        <v>342</v>
      </c>
      <c r="B29" s="16" t="s">
        <v>343</v>
      </c>
      <c r="C29" s="16" t="s">
        <v>344</v>
      </c>
      <c r="D29" s="16" t="s">
        <v>102</v>
      </c>
      <c r="E29" s="16">
        <f>COUNTIF(Checklist!$B$4:$B$65,$A29)</f>
        <v>1</v>
      </c>
      <c r="F29" s="16">
        <f>COUNTIFS(Checklist!$B$4:$B$65,$A29,Checklist!$J$4:$J$65,"&lt;&gt;Yes")</f>
        <v>1</v>
      </c>
      <c r="G29" s="16">
        <f>COUNTIFS(Checklist!$B$4:$B$65,$A29,Checklist!$K$4:$K$65,"Pass")</f>
        <v>1</v>
      </c>
      <c r="H29" s="16">
        <f>COUNTIFS(Checklist!$B$4:$B$65,$A29,Checklist!$K$4:$K$65,"Fail")</f>
        <v>0</v>
      </c>
      <c r="I29" s="16">
        <f>COUNTIFS(Checklist!$B$4:$B$65,$A29,Checklist!$K$4:$K$65,"Blocked")</f>
        <v>0</v>
      </c>
      <c r="J29" s="16">
        <f>COUNTIFS(Checklist!$B$4:$B$65,$A29,Checklist!$K$4:$K$65,"N/A")</f>
        <v>0</v>
      </c>
      <c r="K29" s="16">
        <f t="shared" si="0"/>
        <v>0</v>
      </c>
      <c r="L29" s="16">
        <f>COUNTIFS(Checklist!$B$4:$B$65,$A29,Checklist!$J$4:$J$65,"&lt;&gt;Yes",Checklist!$K$4:$K$65,"&lt;&gt;Pass",Checklist!$K$4:$K$65,"&lt;&gt;N/A")</f>
        <v>0</v>
      </c>
      <c r="M29" s="17">
        <f t="shared" si="1"/>
        <v>1</v>
      </c>
      <c r="N29" s="16" t="str">
        <f t="shared" si="2"/>
        <v>Pass</v>
      </c>
    </row>
    <row r="30" spans="1:14" x14ac:dyDescent="0.15">
      <c r="A30" s="15" t="s">
        <v>348</v>
      </c>
      <c r="B30" s="16" t="s">
        <v>349</v>
      </c>
      <c r="C30" s="16" t="s">
        <v>350</v>
      </c>
      <c r="D30" s="16" t="s">
        <v>211</v>
      </c>
      <c r="E30" s="16">
        <f>COUNTIF(Checklist!$B$4:$B$65,$A30)</f>
        <v>1</v>
      </c>
      <c r="F30" s="16">
        <f>COUNTIFS(Checklist!$B$4:$B$65,$A30,Checklist!$J$4:$J$65,"&lt;&gt;Yes")</f>
        <v>1</v>
      </c>
      <c r="G30" s="16">
        <f>COUNTIFS(Checklist!$B$4:$B$65,$A30,Checklist!$K$4:$K$65,"Pass")</f>
        <v>1</v>
      </c>
      <c r="H30" s="16">
        <f>COUNTIFS(Checklist!$B$4:$B$65,$A30,Checklist!$K$4:$K$65,"Fail")</f>
        <v>0</v>
      </c>
      <c r="I30" s="16">
        <f>COUNTIFS(Checklist!$B$4:$B$65,$A30,Checklist!$K$4:$K$65,"Blocked")</f>
        <v>0</v>
      </c>
      <c r="J30" s="16">
        <f>COUNTIFS(Checklist!$B$4:$B$65,$A30,Checklist!$K$4:$K$65,"N/A")</f>
        <v>0</v>
      </c>
      <c r="K30" s="16">
        <f t="shared" si="0"/>
        <v>0</v>
      </c>
      <c r="L30" s="16">
        <f>COUNTIFS(Checklist!$B$4:$B$65,$A30,Checklist!$J$4:$J$65,"&lt;&gt;Yes",Checklist!$K$4:$K$65,"&lt;&gt;Pass",Checklist!$K$4:$K$65,"&lt;&gt;N/A")</f>
        <v>0</v>
      </c>
      <c r="M30" s="17">
        <f t="shared" si="1"/>
        <v>1</v>
      </c>
      <c r="N30" s="16" t="str">
        <f t="shared" si="2"/>
        <v>Pass</v>
      </c>
    </row>
    <row r="31" spans="1:14" x14ac:dyDescent="0.15">
      <c r="A31" s="15" t="s">
        <v>354</v>
      </c>
      <c r="B31" s="16" t="s">
        <v>355</v>
      </c>
      <c r="C31" s="16" t="s">
        <v>356</v>
      </c>
      <c r="D31" s="16" t="s">
        <v>211</v>
      </c>
      <c r="E31" s="16">
        <f>COUNTIF(Checklist!$B$4:$B$65,$A31)</f>
        <v>1</v>
      </c>
      <c r="F31" s="16">
        <f>COUNTIFS(Checklist!$B$4:$B$65,$A31,Checklist!$J$4:$J$65,"&lt;&gt;Yes")</f>
        <v>1</v>
      </c>
      <c r="G31" s="16">
        <f>COUNTIFS(Checklist!$B$4:$B$65,$A31,Checklist!$K$4:$K$65,"Pass")</f>
        <v>1</v>
      </c>
      <c r="H31" s="16">
        <f>COUNTIFS(Checklist!$B$4:$B$65,$A31,Checklist!$K$4:$K$65,"Fail")</f>
        <v>0</v>
      </c>
      <c r="I31" s="16">
        <f>COUNTIFS(Checklist!$B$4:$B$65,$A31,Checklist!$K$4:$K$65,"Blocked")</f>
        <v>0</v>
      </c>
      <c r="J31" s="16">
        <f>COUNTIFS(Checklist!$B$4:$B$65,$A31,Checklist!$K$4:$K$65,"N/A")</f>
        <v>0</v>
      </c>
      <c r="K31" s="16">
        <f t="shared" si="0"/>
        <v>0</v>
      </c>
      <c r="L31" s="16">
        <f>COUNTIFS(Checklist!$B$4:$B$65,$A31,Checklist!$J$4:$J$65,"&lt;&gt;Yes",Checklist!$K$4:$K$65,"&lt;&gt;Pass",Checklist!$K$4:$K$65,"&lt;&gt;N/A")</f>
        <v>0</v>
      </c>
      <c r="M31" s="17">
        <f t="shared" si="1"/>
        <v>1</v>
      </c>
      <c r="N31" s="16" t="str">
        <f t="shared" si="2"/>
        <v>Pass</v>
      </c>
    </row>
    <row r="32" spans="1:14" x14ac:dyDescent="0.15">
      <c r="A32" s="15" t="s">
        <v>360</v>
      </c>
      <c r="B32" s="16" t="s">
        <v>361</v>
      </c>
      <c r="C32" s="16" t="s">
        <v>362</v>
      </c>
      <c r="D32" s="16" t="s">
        <v>102</v>
      </c>
      <c r="E32" s="16">
        <f>COUNTIF(Checklist!$B$4:$B$65,$A32)</f>
        <v>1</v>
      </c>
      <c r="F32" s="16">
        <f>COUNTIFS(Checklist!$B$4:$B$65,$A32,Checklist!$J$4:$J$65,"&lt;&gt;Yes")</f>
        <v>1</v>
      </c>
      <c r="G32" s="16">
        <f>COUNTIFS(Checklist!$B$4:$B$65,$A32,Checklist!$K$4:$K$65,"Pass")</f>
        <v>1</v>
      </c>
      <c r="H32" s="16">
        <f>COUNTIFS(Checklist!$B$4:$B$65,$A32,Checklist!$K$4:$K$65,"Fail")</f>
        <v>0</v>
      </c>
      <c r="I32" s="16">
        <f>COUNTIFS(Checklist!$B$4:$B$65,$A32,Checklist!$K$4:$K$65,"Blocked")</f>
        <v>0</v>
      </c>
      <c r="J32" s="16">
        <f>COUNTIFS(Checklist!$B$4:$B$65,$A32,Checklist!$K$4:$K$65,"N/A")</f>
        <v>0</v>
      </c>
      <c r="K32" s="16">
        <f t="shared" si="0"/>
        <v>0</v>
      </c>
      <c r="L32" s="16">
        <f>COUNTIFS(Checklist!$B$4:$B$65,$A32,Checklist!$J$4:$J$65,"&lt;&gt;Yes",Checklist!$K$4:$K$65,"&lt;&gt;Pass",Checklist!$K$4:$K$65,"&lt;&gt;N/A")</f>
        <v>0</v>
      </c>
      <c r="M32" s="17">
        <f t="shared" si="1"/>
        <v>1</v>
      </c>
      <c r="N32" s="16" t="str">
        <f t="shared" si="2"/>
        <v>Pass</v>
      </c>
    </row>
    <row r="33" spans="1:14" x14ac:dyDescent="0.15">
      <c r="A33" s="18" t="s">
        <v>373</v>
      </c>
      <c r="B33" s="18" t="s">
        <v>374</v>
      </c>
      <c r="C33" s="18"/>
      <c r="D33" s="18"/>
      <c r="E33" s="18">
        <f t="shared" ref="E33:L33" si="3">SUM(E5:E32)</f>
        <v>58</v>
      </c>
      <c r="F33" s="18">
        <f t="shared" si="3"/>
        <v>51</v>
      </c>
      <c r="G33" s="18">
        <f t="shared" si="3"/>
        <v>57</v>
      </c>
      <c r="H33" s="18">
        <f t="shared" si="3"/>
        <v>1</v>
      </c>
      <c r="I33" s="18">
        <f t="shared" si="3"/>
        <v>0</v>
      </c>
      <c r="J33" s="18">
        <f t="shared" si="3"/>
        <v>0</v>
      </c>
      <c r="K33" s="18">
        <f t="shared" si="3"/>
        <v>0</v>
      </c>
      <c r="L33" s="18">
        <f t="shared" si="3"/>
        <v>1</v>
      </c>
      <c r="M33" s="19">
        <f t="shared" si="1"/>
        <v>1</v>
      </c>
      <c r="N33" s="18" t="str">
        <f t="shared" si="2"/>
        <v>Fail</v>
      </c>
    </row>
    <row r="35" spans="1:14" ht="15" x14ac:dyDescent="0.25">
      <c r="A35" s="20" t="s">
        <v>375</v>
      </c>
    </row>
    <row r="36" spans="1:14" ht="27.95" customHeight="1" x14ac:dyDescent="0.15">
      <c r="A36" s="6" t="s">
        <v>88</v>
      </c>
      <c r="B36" s="30" t="s">
        <v>376</v>
      </c>
      <c r="C36" s="31"/>
      <c r="D36" s="32"/>
      <c r="E36" s="6" t="s">
        <v>367</v>
      </c>
      <c r="F36" s="6" t="s">
        <v>368</v>
      </c>
      <c r="G36" s="6" t="s">
        <v>17</v>
      </c>
      <c r="H36" s="6" t="s">
        <v>19</v>
      </c>
      <c r="I36" s="6" t="s">
        <v>21</v>
      </c>
      <c r="J36" s="6" t="s">
        <v>25</v>
      </c>
      <c r="K36" s="6" t="s">
        <v>369</v>
      </c>
      <c r="L36" s="6" t="s">
        <v>370</v>
      </c>
      <c r="M36" s="6" t="s">
        <v>371</v>
      </c>
      <c r="N36" s="6" t="s">
        <v>372</v>
      </c>
    </row>
    <row r="37" spans="1:14" x14ac:dyDescent="0.15">
      <c r="A37" s="15" t="s">
        <v>102</v>
      </c>
      <c r="B37" s="33" t="s">
        <v>377</v>
      </c>
      <c r="C37" s="33"/>
      <c r="D37" s="33"/>
      <c r="E37" s="16">
        <f>COUNTIF(Checklist!$E$4:$E$65,$A37)</f>
        <v>32</v>
      </c>
      <c r="F37" s="16">
        <f>COUNTIFS(Checklist!$E$4:$E$65,$A37,Checklist!$J$4:$J$65,"&lt;&gt;Yes")</f>
        <v>25</v>
      </c>
      <c r="G37" s="16">
        <f>COUNTIFS(Checklist!$E$4:$E$65,$A37,Checklist!$K$4:$K$65,"Pass")</f>
        <v>32</v>
      </c>
      <c r="H37" s="16">
        <f>COUNTIFS(Checklist!$E$4:$E$65,$A37,Checklist!$K$4:$K$65,"Fail")</f>
        <v>0</v>
      </c>
      <c r="I37" s="16">
        <f>COUNTIFS(Checklist!$E$4:$E$65,$A37,Checklist!$K$4:$K$65,"Blocked")</f>
        <v>0</v>
      </c>
      <c r="J37" s="16">
        <f>COUNTIFS(Checklist!$E$4:$E$65,$A37,Checklist!$K$4:$K$65,"N/A")</f>
        <v>0</v>
      </c>
      <c r="K37" s="16">
        <f>E37-G37-H37-I37-J37</f>
        <v>0</v>
      </c>
      <c r="L37" s="16">
        <f>COUNTIFS(Checklist!$E$4:$E$65,$A37,Checklist!$J$4:$J$65,"&lt;&gt;Yes",Checklist!$K$4:$K$65,"&lt;&gt;Pass",Checklist!$K$4:$K$65,"&lt;&gt;N/A")</f>
        <v>0</v>
      </c>
      <c r="M37" s="17">
        <f>IF(E37=0,0,(G37+H37+I37+J37)/E37)</f>
        <v>1</v>
      </c>
      <c r="N37" s="16" t="str">
        <f>IF(H37&gt;0,"Fail",IF(I37&gt;0,"Blocked",IF(G37+H37+I37+J37=0,IF(F37=0,"Optional","Not started"),IF(L37=0,"Pass","In progress"))))</f>
        <v>Pass</v>
      </c>
    </row>
    <row r="38" spans="1:14" x14ac:dyDescent="0.15">
      <c r="A38" s="15" t="s">
        <v>211</v>
      </c>
      <c r="B38" s="33" t="s">
        <v>378</v>
      </c>
      <c r="C38" s="33"/>
      <c r="D38" s="33"/>
      <c r="E38" s="16">
        <f>COUNTIF(Checklist!$E$4:$E$65,$A38)</f>
        <v>23</v>
      </c>
      <c r="F38" s="16">
        <f>COUNTIFS(Checklist!$E$4:$E$65,$A38,Checklist!$J$4:$J$65,"&lt;&gt;Yes")</f>
        <v>23</v>
      </c>
      <c r="G38" s="16">
        <f>COUNTIFS(Checklist!$E$4:$E$65,$A38,Checklist!$K$4:$K$65,"Pass")</f>
        <v>22</v>
      </c>
      <c r="H38" s="16">
        <f>COUNTIFS(Checklist!$E$4:$E$65,$A38,Checklist!$K$4:$K$65,"Fail")</f>
        <v>1</v>
      </c>
      <c r="I38" s="16">
        <f>COUNTIFS(Checklist!$E$4:$E$65,$A38,Checklist!$K$4:$K$65,"Blocked")</f>
        <v>0</v>
      </c>
      <c r="J38" s="16">
        <f>COUNTIFS(Checklist!$E$4:$E$65,$A38,Checklist!$K$4:$K$65,"N/A")</f>
        <v>0</v>
      </c>
      <c r="K38" s="16">
        <f>E38-G38-H38-I38-J38</f>
        <v>0</v>
      </c>
      <c r="L38" s="16">
        <f>COUNTIFS(Checklist!$E$4:$E$65,$A38,Checklist!$J$4:$J$65,"&lt;&gt;Yes",Checklist!$K$4:$K$65,"&lt;&gt;Pass",Checklist!$K$4:$K$65,"&lt;&gt;N/A")</f>
        <v>1</v>
      </c>
      <c r="M38" s="17">
        <f>IF(E38=0,0,(G38+H38+I38+J38)/E38)</f>
        <v>1</v>
      </c>
      <c r="N38" s="16" t="str">
        <f>IF(H38&gt;0,"Fail",IF(I38&gt;0,"Blocked",IF(G38+H38+I38+J38=0,IF(F38=0,"Optional","Not started"),IF(L38=0,"Pass","In progress"))))</f>
        <v>Fail</v>
      </c>
    </row>
    <row r="39" spans="1:14" x14ac:dyDescent="0.15">
      <c r="A39" s="15" t="s">
        <v>157</v>
      </c>
      <c r="B39" s="33" t="s">
        <v>379</v>
      </c>
      <c r="C39" s="33"/>
      <c r="D39" s="33"/>
      <c r="E39" s="16">
        <f>COUNTIF(Checklist!$E$4:$E$65,$A39)</f>
        <v>3</v>
      </c>
      <c r="F39" s="16">
        <f>COUNTIFS(Checklist!$E$4:$E$65,$A39,Checklist!$J$4:$J$65,"&lt;&gt;Yes")</f>
        <v>3</v>
      </c>
      <c r="G39" s="16">
        <f>COUNTIFS(Checklist!$E$4:$E$65,$A39,Checklist!$K$4:$K$65,"Pass")</f>
        <v>3</v>
      </c>
      <c r="H39" s="16">
        <f>COUNTIFS(Checklist!$E$4:$E$65,$A39,Checklist!$K$4:$K$65,"Fail")</f>
        <v>0</v>
      </c>
      <c r="I39" s="16">
        <f>COUNTIFS(Checklist!$E$4:$E$65,$A39,Checklist!$K$4:$K$65,"Blocked")</f>
        <v>0</v>
      </c>
      <c r="J39" s="16">
        <f>COUNTIFS(Checklist!$E$4:$E$65,$A39,Checklist!$K$4:$K$65,"N/A")</f>
        <v>0</v>
      </c>
      <c r="K39" s="16">
        <f>E39-G39-H39-I39-J39</f>
        <v>0</v>
      </c>
      <c r="L39" s="16">
        <f>COUNTIFS(Checklist!$E$4:$E$65,$A39,Checklist!$J$4:$J$65,"&lt;&gt;Yes",Checklist!$K$4:$K$65,"&lt;&gt;Pass",Checklist!$K$4:$K$65,"&lt;&gt;N/A")</f>
        <v>0</v>
      </c>
      <c r="M39" s="17">
        <f>IF(E39=0,0,(G39+H39+I39+J39)/E39)</f>
        <v>1</v>
      </c>
      <c r="N39" s="16" t="str">
        <f>IF(H39&gt;0,"Fail",IF(I39&gt;0,"Blocked",IF(G39+H39+I39+J39=0,IF(F39=0,"Optional","Not started"),IF(L39=0,"Pass","In progress"))))</f>
        <v>Pass</v>
      </c>
    </row>
    <row r="41" spans="1:14" ht="14.25" x14ac:dyDescent="0.2">
      <c r="A41" s="35" t="s">
        <v>380</v>
      </c>
      <c r="B41" s="26"/>
      <c r="C41" s="26"/>
      <c r="D41" s="26"/>
      <c r="E41" s="21">
        <f>E33-SUM(E37:E39)</f>
        <v>0</v>
      </c>
    </row>
  </sheetData>
  <mergeCells count="7">
    <mergeCell ref="A1:N1"/>
    <mergeCell ref="B36:D36"/>
    <mergeCell ref="B37:D37"/>
    <mergeCell ref="A2:N2"/>
    <mergeCell ref="A41:D41"/>
    <mergeCell ref="B39:D39"/>
    <mergeCell ref="B38:D38"/>
  </mergeCells>
  <phoneticPr fontId="12"/>
  <conditionalFormatting sqref="N5:N33">
    <cfRule type="expression" dxfId="12" priority="1">
      <formula>$N5="Pass"</formula>
    </cfRule>
    <cfRule type="expression" dxfId="11" priority="2">
      <formula>$N5="Fail"</formula>
    </cfRule>
    <cfRule type="expression" dxfId="10" priority="3">
      <formula>$N5="Blocked"</formula>
    </cfRule>
    <cfRule type="expression" dxfId="9" priority="4">
      <formula>$N5="In progress"</formula>
    </cfRule>
    <cfRule type="expression" dxfId="8" priority="5">
      <formula>$N5="Optional"</formula>
    </cfRule>
  </conditionalFormatting>
  <conditionalFormatting sqref="N37:N39">
    <cfRule type="expression" dxfId="7" priority="6">
      <formula>$N37="Pass"</formula>
    </cfRule>
    <cfRule type="expression" dxfId="6" priority="7">
      <formula>$N37="Fail"</formula>
    </cfRule>
    <cfRule type="expression" dxfId="5" priority="8">
      <formula>$N37="Blocked"</formula>
    </cfRule>
    <cfRule type="expression" dxfId="4" priority="9">
      <formula>$N37="In progress"</formula>
    </cfRule>
    <cfRule type="expression" dxfId="3" priority="10">
      <formula>$N37="Optional"</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workbookViewId="0">
      <pane xSplit="1" ySplit="4" topLeftCell="B5" activePane="bottomRight" state="frozen"/>
      <selection pane="topRight"/>
      <selection pane="bottomLeft"/>
      <selection pane="bottomRight" sqref="A1:H1"/>
    </sheetView>
  </sheetViews>
  <sheetFormatPr defaultRowHeight="13.5" x14ac:dyDescent="0.15"/>
  <cols>
    <col min="1" max="1" width="6" customWidth="1"/>
    <col min="2" max="2" width="14" customWidth="1"/>
    <col min="3" max="3" width="36" customWidth="1"/>
    <col min="4" max="4" width="48" customWidth="1"/>
    <col min="5" max="5" width="30" customWidth="1"/>
    <col min="6" max="6" width="44" customWidth="1"/>
    <col min="7" max="8" width="10" customWidth="1"/>
  </cols>
  <sheetData>
    <row r="1" spans="1:8" ht="18" x14ac:dyDescent="0.25">
      <c r="A1" s="29" t="s">
        <v>381</v>
      </c>
      <c r="B1" s="26"/>
      <c r="C1" s="26"/>
      <c r="D1" s="26"/>
      <c r="E1" s="26"/>
      <c r="F1" s="26"/>
      <c r="G1" s="26"/>
      <c r="H1" s="26"/>
    </row>
    <row r="2" spans="1:8" ht="27.95" customHeight="1" x14ac:dyDescent="0.15">
      <c r="A2" s="34" t="s">
        <v>382</v>
      </c>
      <c r="B2" s="26"/>
      <c r="C2" s="26"/>
      <c r="D2" s="26"/>
      <c r="E2" s="26"/>
      <c r="F2" s="26"/>
      <c r="G2" s="26"/>
      <c r="H2" s="26"/>
    </row>
    <row r="4" spans="1:8" x14ac:dyDescent="0.15">
      <c r="A4" s="6" t="s">
        <v>84</v>
      </c>
      <c r="B4" s="6" t="s">
        <v>383</v>
      </c>
      <c r="C4" s="6" t="s">
        <v>384</v>
      </c>
      <c r="D4" s="6" t="s">
        <v>385</v>
      </c>
      <c r="E4" s="6" t="s">
        <v>386</v>
      </c>
      <c r="F4" s="6" t="s">
        <v>387</v>
      </c>
      <c r="G4" s="6" t="s">
        <v>388</v>
      </c>
      <c r="H4" s="6" t="s">
        <v>389</v>
      </c>
    </row>
    <row r="5" spans="1:8" ht="25.5" x14ac:dyDescent="0.15">
      <c r="A5" s="15" t="s">
        <v>281</v>
      </c>
      <c r="B5" s="16" t="s">
        <v>390</v>
      </c>
      <c r="C5" s="16" t="s">
        <v>391</v>
      </c>
      <c r="D5" s="16" t="s">
        <v>392</v>
      </c>
      <c r="E5" s="16" t="s">
        <v>393</v>
      </c>
      <c r="F5" s="16" t="s">
        <v>394</v>
      </c>
      <c r="G5" s="22"/>
      <c r="H5" s="22"/>
    </row>
    <row r="6" spans="1:8" ht="51" x14ac:dyDescent="0.15">
      <c r="A6" s="15" t="s">
        <v>305</v>
      </c>
      <c r="B6" s="16" t="s">
        <v>395</v>
      </c>
      <c r="C6" s="16" t="s">
        <v>396</v>
      </c>
      <c r="D6" s="16" t="s">
        <v>397</v>
      </c>
      <c r="E6" s="16" t="s">
        <v>398</v>
      </c>
      <c r="F6" s="16" t="s">
        <v>399</v>
      </c>
      <c r="G6" s="22"/>
      <c r="H6" s="22"/>
    </row>
    <row r="7" spans="1:8" ht="25.5" x14ac:dyDescent="0.15">
      <c r="A7" s="15" t="s">
        <v>104</v>
      </c>
      <c r="B7" s="16" t="s">
        <v>400</v>
      </c>
      <c r="C7" s="16" t="s">
        <v>401</v>
      </c>
      <c r="D7" s="16" t="s">
        <v>402</v>
      </c>
      <c r="E7" s="16" t="s">
        <v>104</v>
      </c>
      <c r="F7" s="16" t="s">
        <v>403</v>
      </c>
      <c r="G7" s="22"/>
      <c r="H7" s="22"/>
    </row>
    <row r="8" spans="1:8" ht="25.5" x14ac:dyDescent="0.15">
      <c r="A8" s="15" t="s">
        <v>104</v>
      </c>
      <c r="B8" s="16" t="s">
        <v>400</v>
      </c>
      <c r="C8" s="16" t="s">
        <v>404</v>
      </c>
      <c r="D8" s="16" t="s">
        <v>405</v>
      </c>
      <c r="E8" s="16" t="s">
        <v>406</v>
      </c>
      <c r="F8" s="16" t="s">
        <v>407</v>
      </c>
      <c r="G8" s="22"/>
      <c r="H8" s="22"/>
    </row>
    <row r="9" spans="1:8" ht="25.5" x14ac:dyDescent="0.15">
      <c r="A9" s="15" t="s">
        <v>104</v>
      </c>
      <c r="B9" s="16" t="s">
        <v>400</v>
      </c>
      <c r="C9" s="16" t="s">
        <v>408</v>
      </c>
      <c r="D9" s="16" t="s">
        <v>409</v>
      </c>
      <c r="E9" s="16" t="s">
        <v>410</v>
      </c>
      <c r="F9" s="16" t="s">
        <v>411</v>
      </c>
      <c r="G9" s="22"/>
      <c r="H9" s="22"/>
    </row>
    <row r="10" spans="1:8" ht="51" x14ac:dyDescent="0.15">
      <c r="A10" s="15" t="s">
        <v>104</v>
      </c>
      <c r="B10" s="16" t="s">
        <v>412</v>
      </c>
      <c r="C10" s="16" t="s">
        <v>413</v>
      </c>
      <c r="D10" s="16" t="s">
        <v>414</v>
      </c>
      <c r="E10" s="16" t="s">
        <v>415</v>
      </c>
      <c r="F10" s="16" t="s">
        <v>416</v>
      </c>
      <c r="G10" s="23"/>
      <c r="H10" s="23"/>
    </row>
    <row r="12" spans="1:8" ht="14.25" x14ac:dyDescent="0.2">
      <c r="A12" s="36" t="s">
        <v>417</v>
      </c>
      <c r="B12" s="26"/>
      <c r="C12" s="26"/>
      <c r="D12" s="21">
        <f>COUNTIFS(G5:G10,"Yes",H5:H10,"&lt;&gt;Yes")</f>
        <v>0</v>
      </c>
      <c r="E12" s="5" t="s">
        <v>418</v>
      </c>
    </row>
  </sheetData>
  <mergeCells count="3">
    <mergeCell ref="A12:C12"/>
    <mergeCell ref="A2:H2"/>
    <mergeCell ref="A1:H1"/>
  </mergeCells>
  <phoneticPr fontId="12"/>
  <conditionalFormatting sqref="H5:H10">
    <cfRule type="expression" dxfId="2" priority="1">
      <formula>$H5="Yes"</formula>
    </cfRule>
    <cfRule type="expression" dxfId="1" priority="2">
      <formula>$H5="No"</formula>
    </cfRule>
    <cfRule type="expression" dxfId="0" priority="3">
      <formula>$H5="N/A"</formula>
    </cfRule>
  </conditionalFormatting>
  <dataValidations count="1">
    <dataValidation type="list" allowBlank="1" sqref="G5:H10" xr:uid="{00000000-0002-0000-0300-000000000000}">
      <formula1>"Yes,No,N/A"</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1"/>
  <sheetViews>
    <sheetView topLeftCell="A32" workbookViewId="0">
      <selection sqref="A1:C1"/>
    </sheetView>
  </sheetViews>
  <sheetFormatPr defaultRowHeight="13.5" x14ac:dyDescent="0.15"/>
  <cols>
    <col min="1" max="1" width="64" customWidth="1"/>
    <col min="2" max="2" width="12" customWidth="1"/>
    <col min="3" max="3" width="60" customWidth="1"/>
  </cols>
  <sheetData>
    <row r="1" spans="1:3" ht="18" x14ac:dyDescent="0.25">
      <c r="A1" s="29" t="s">
        <v>419</v>
      </c>
      <c r="B1" s="26"/>
      <c r="C1" s="26"/>
    </row>
    <row r="3" spans="1:3" ht="15" x14ac:dyDescent="0.25">
      <c r="A3" s="20" t="s">
        <v>420</v>
      </c>
    </row>
    <row r="4" spans="1:3" ht="14.25" x14ac:dyDescent="0.2">
      <c r="A4" s="24" t="s">
        <v>421</v>
      </c>
      <c r="B4" s="24" t="s">
        <v>84</v>
      </c>
      <c r="C4" s="24" t="s">
        <v>422</v>
      </c>
    </row>
    <row r="5" spans="1:3" x14ac:dyDescent="0.15">
      <c r="A5" s="16" t="s">
        <v>423</v>
      </c>
      <c r="B5" s="15" t="s">
        <v>424</v>
      </c>
      <c r="C5" s="16" t="s">
        <v>425</v>
      </c>
    </row>
    <row r="6" spans="1:3" ht="38.25" x14ac:dyDescent="0.15">
      <c r="A6" s="16" t="s">
        <v>426</v>
      </c>
      <c r="B6" s="15" t="s">
        <v>427</v>
      </c>
      <c r="C6" s="16" t="s">
        <v>428</v>
      </c>
    </row>
    <row r="7" spans="1:3" ht="25.5" x14ac:dyDescent="0.15">
      <c r="A7" s="16" t="s">
        <v>429</v>
      </c>
      <c r="B7" s="15" t="s">
        <v>104</v>
      </c>
      <c r="C7" s="16" t="s">
        <v>430</v>
      </c>
    </row>
    <row r="8" spans="1:3" x14ac:dyDescent="0.15">
      <c r="A8" s="16" t="s">
        <v>431</v>
      </c>
      <c r="B8" s="15" t="s">
        <v>432</v>
      </c>
      <c r="C8" s="16" t="s">
        <v>433</v>
      </c>
    </row>
    <row r="9" spans="1:3" x14ac:dyDescent="0.15">
      <c r="A9" s="16" t="s">
        <v>434</v>
      </c>
      <c r="B9" s="15" t="s">
        <v>435</v>
      </c>
      <c r="C9" s="16" t="s">
        <v>436</v>
      </c>
    </row>
    <row r="10" spans="1:3" x14ac:dyDescent="0.15">
      <c r="A10" s="16" t="s">
        <v>437</v>
      </c>
      <c r="B10" s="15" t="s">
        <v>438</v>
      </c>
      <c r="C10" s="16" t="s">
        <v>439</v>
      </c>
    </row>
    <row r="11" spans="1:3" x14ac:dyDescent="0.15">
      <c r="A11" s="16" t="s">
        <v>440</v>
      </c>
      <c r="B11" s="15" t="s">
        <v>441</v>
      </c>
      <c r="C11" s="16" t="s">
        <v>442</v>
      </c>
    </row>
    <row r="12" spans="1:3" x14ac:dyDescent="0.15">
      <c r="A12" s="16" t="s">
        <v>443</v>
      </c>
      <c r="B12" s="15" t="s">
        <v>104</v>
      </c>
      <c r="C12" s="16" t="s">
        <v>444</v>
      </c>
    </row>
    <row r="13" spans="1:3" x14ac:dyDescent="0.15">
      <c r="A13" s="16" t="s">
        <v>445</v>
      </c>
      <c r="B13" s="15" t="s">
        <v>446</v>
      </c>
      <c r="C13" s="16" t="s">
        <v>447</v>
      </c>
    </row>
    <row r="14" spans="1:3" x14ac:dyDescent="0.15">
      <c r="A14" s="16" t="s">
        <v>448</v>
      </c>
      <c r="B14" s="15" t="s">
        <v>449</v>
      </c>
      <c r="C14" s="16" t="s">
        <v>450</v>
      </c>
    </row>
    <row r="15" spans="1:3" x14ac:dyDescent="0.15">
      <c r="A15" s="16" t="s">
        <v>451</v>
      </c>
      <c r="B15" s="15" t="s">
        <v>452</v>
      </c>
      <c r="C15" s="16" t="s">
        <v>453</v>
      </c>
    </row>
    <row r="16" spans="1:3" x14ac:dyDescent="0.15">
      <c r="A16" s="16" t="s">
        <v>454</v>
      </c>
      <c r="B16" s="15" t="s">
        <v>455</v>
      </c>
      <c r="C16" s="16" t="s">
        <v>456</v>
      </c>
    </row>
    <row r="17" spans="1:3" x14ac:dyDescent="0.15">
      <c r="A17" s="16" t="s">
        <v>457</v>
      </c>
      <c r="B17" s="15" t="s">
        <v>104</v>
      </c>
      <c r="C17" s="16" t="s">
        <v>458</v>
      </c>
    </row>
    <row r="18" spans="1:3" ht="25.5" x14ac:dyDescent="0.15">
      <c r="A18" s="16" t="s">
        <v>459</v>
      </c>
      <c r="B18" s="15" t="s">
        <v>460</v>
      </c>
      <c r="C18" s="16" t="s">
        <v>461</v>
      </c>
    </row>
    <row r="19" spans="1:3" ht="25.5" x14ac:dyDescent="0.15">
      <c r="A19" s="16" t="s">
        <v>462</v>
      </c>
      <c r="B19" s="15" t="s">
        <v>344</v>
      </c>
      <c r="C19" s="16" t="s">
        <v>463</v>
      </c>
    </row>
    <row r="21" spans="1:3" ht="15" x14ac:dyDescent="0.25">
      <c r="A21" s="20" t="s">
        <v>464</v>
      </c>
    </row>
    <row r="22" spans="1:3" ht="14.25" x14ac:dyDescent="0.2">
      <c r="A22" s="24" t="s">
        <v>421</v>
      </c>
      <c r="B22" s="24" t="s">
        <v>84</v>
      </c>
      <c r="C22" s="24" t="s">
        <v>465</v>
      </c>
    </row>
    <row r="23" spans="1:3" ht="25.5" x14ac:dyDescent="0.15">
      <c r="A23" s="16" t="s">
        <v>466</v>
      </c>
      <c r="B23" s="15" t="s">
        <v>467</v>
      </c>
      <c r="C23" s="16" t="s">
        <v>98</v>
      </c>
    </row>
    <row r="24" spans="1:3" x14ac:dyDescent="0.15">
      <c r="A24" s="16" t="s">
        <v>468</v>
      </c>
      <c r="B24" s="15" t="s">
        <v>469</v>
      </c>
      <c r="C24" s="16" t="s">
        <v>107</v>
      </c>
    </row>
    <row r="25" spans="1:3" x14ac:dyDescent="0.15">
      <c r="A25" s="16" t="s">
        <v>470</v>
      </c>
      <c r="B25" s="15" t="s">
        <v>119</v>
      </c>
      <c r="C25" s="16" t="s">
        <v>117</v>
      </c>
    </row>
    <row r="26" spans="1:3" x14ac:dyDescent="0.15">
      <c r="A26" s="16" t="s">
        <v>471</v>
      </c>
      <c r="B26" s="15" t="s">
        <v>130</v>
      </c>
      <c r="C26" s="16" t="s">
        <v>127</v>
      </c>
    </row>
    <row r="27" spans="1:3" x14ac:dyDescent="0.15">
      <c r="A27" s="16" t="s">
        <v>472</v>
      </c>
      <c r="B27" s="15" t="s">
        <v>140</v>
      </c>
      <c r="C27" s="16" t="s">
        <v>137</v>
      </c>
    </row>
    <row r="28" spans="1:3" ht="25.5" x14ac:dyDescent="0.15">
      <c r="A28" s="16" t="s">
        <v>473</v>
      </c>
      <c r="B28" s="15" t="s">
        <v>147</v>
      </c>
      <c r="C28" s="16" t="s">
        <v>145</v>
      </c>
    </row>
    <row r="29" spans="1:3" x14ac:dyDescent="0.15">
      <c r="A29" s="16" t="s">
        <v>474</v>
      </c>
      <c r="B29" s="15" t="s">
        <v>475</v>
      </c>
      <c r="C29" s="16" t="s">
        <v>160</v>
      </c>
    </row>
    <row r="30" spans="1:3" ht="25.5" x14ac:dyDescent="0.15">
      <c r="A30" s="16" t="s">
        <v>476</v>
      </c>
      <c r="B30" s="15" t="s">
        <v>175</v>
      </c>
      <c r="C30" s="16" t="s">
        <v>173</v>
      </c>
    </row>
    <row r="31" spans="1:3" x14ac:dyDescent="0.15">
      <c r="A31" s="16" t="s">
        <v>477</v>
      </c>
      <c r="B31" s="15" t="s">
        <v>362</v>
      </c>
      <c r="C31" s="16" t="s">
        <v>478</v>
      </c>
    </row>
    <row r="32" spans="1:3" x14ac:dyDescent="0.15">
      <c r="A32" s="16" t="s">
        <v>479</v>
      </c>
      <c r="B32" s="15" t="s">
        <v>193</v>
      </c>
      <c r="C32" s="16" t="s">
        <v>190</v>
      </c>
    </row>
    <row r="33" spans="1:3" ht="25.5" x14ac:dyDescent="0.15">
      <c r="A33" s="16" t="s">
        <v>480</v>
      </c>
      <c r="B33" s="15" t="s">
        <v>481</v>
      </c>
      <c r="C33" s="16" t="s">
        <v>208</v>
      </c>
    </row>
    <row r="34" spans="1:3" x14ac:dyDescent="0.15">
      <c r="A34" s="16" t="s">
        <v>482</v>
      </c>
      <c r="B34" s="15" t="s">
        <v>483</v>
      </c>
      <c r="C34" s="16" t="s">
        <v>220</v>
      </c>
    </row>
    <row r="35" spans="1:3" ht="25.5" x14ac:dyDescent="0.15">
      <c r="A35" s="16" t="s">
        <v>484</v>
      </c>
      <c r="B35" s="15" t="s">
        <v>485</v>
      </c>
      <c r="C35" s="16" t="s">
        <v>229</v>
      </c>
    </row>
    <row r="36" spans="1:3" x14ac:dyDescent="0.15">
      <c r="A36" s="16" t="s">
        <v>486</v>
      </c>
      <c r="B36" s="15" t="s">
        <v>487</v>
      </c>
      <c r="C36" s="16" t="s">
        <v>241</v>
      </c>
    </row>
    <row r="37" spans="1:3" x14ac:dyDescent="0.15">
      <c r="A37" s="16" t="s">
        <v>488</v>
      </c>
      <c r="B37" s="15" t="s">
        <v>489</v>
      </c>
      <c r="C37" s="16" t="s">
        <v>251</v>
      </c>
    </row>
    <row r="38" spans="1:3" x14ac:dyDescent="0.15">
      <c r="A38" s="16" t="s">
        <v>490</v>
      </c>
      <c r="B38" s="15" t="s">
        <v>491</v>
      </c>
      <c r="C38" s="16" t="s">
        <v>492</v>
      </c>
    </row>
    <row r="39" spans="1:3" ht="25.5" x14ac:dyDescent="0.15">
      <c r="A39" s="16" t="s">
        <v>493</v>
      </c>
      <c r="B39" s="15" t="s">
        <v>494</v>
      </c>
      <c r="C39" s="16" t="s">
        <v>278</v>
      </c>
    </row>
    <row r="40" spans="1:3" x14ac:dyDescent="0.15">
      <c r="A40" s="16" t="s">
        <v>495</v>
      </c>
      <c r="B40" s="15" t="s">
        <v>496</v>
      </c>
      <c r="C40" s="16" t="s">
        <v>329</v>
      </c>
    </row>
    <row r="41" spans="1:3" x14ac:dyDescent="0.15">
      <c r="A41" s="16" t="s">
        <v>497</v>
      </c>
      <c r="B41" s="15" t="s">
        <v>498</v>
      </c>
      <c r="C41" s="16" t="s">
        <v>499</v>
      </c>
    </row>
  </sheetData>
  <mergeCells count="1">
    <mergeCell ref="A1:C1"/>
  </mergeCells>
  <phoneticPr fontId="1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1</vt:i4>
      </vt:variant>
    </vt:vector>
  </HeadingPairs>
  <TitlesOfParts>
    <vt:vector size="6" baseType="lpstr">
      <vt:lpstr>Read me</vt:lpstr>
      <vt:lpstr>Checklist</vt:lpstr>
      <vt:lpstr>Summary</vt:lpstr>
      <vt:lpstr>Temp changes</vt:lpstr>
      <vt:lpstr>Known issues</vt:lpstr>
      <vt:lpstr>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コンスタンティン ミハイロフ</cp:lastModifiedBy>
  <dcterms:created xsi:type="dcterms:W3CDTF">2026-10-21T06:17:08Z</dcterms:created>
  <dcterms:modified xsi:type="dcterms:W3CDTF">2026-10-21T12:55:38Z</dcterms:modified>
</cp:coreProperties>
</file>