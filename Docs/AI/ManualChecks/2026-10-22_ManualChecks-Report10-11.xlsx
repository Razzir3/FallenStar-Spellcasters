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Lesson\FallenStar-Spellcasters\Docs\AI\ManualChecks\"/>
    </mc:Choice>
  </mc:AlternateContent>
  <xr:revisionPtr revIDLastSave="0" documentId="13_ncr:1_{E5EEE386-E121-4D1E-AEB6-30C4C4601B4E}" xr6:coauthVersionLast="47" xr6:coauthVersionMax="47" xr10:uidLastSave="{00000000-0000-0000-0000-000000000000}"/>
  <bookViews>
    <workbookView xWindow="-105" yWindow="0" windowWidth="19410" windowHeight="23385" activeTab="1" xr2:uid="{00000000-000D-0000-FFFF-FFFF00000000}"/>
  </bookViews>
  <sheets>
    <sheet name="Read me" sheetId="1" r:id="rId1"/>
    <sheet name="Checklist" sheetId="2" r:id="rId2"/>
    <sheet name="Summary" sheetId="3" r:id="rId3"/>
    <sheet name="Clean-up" sheetId="4" r:id="rId4"/>
    <sheet name="Known issues" sheetId="5" r:id="rId5"/>
  </sheets>
  <definedNames>
    <definedName name="_xlnm._FilterDatabase" localSheetId="1" hidden="1">Checklist!$A$3:$N$50</definedName>
    <definedName name="_xlnm.Print_Titles" localSheetId="1">Checklist!$3:$3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4" l="1"/>
  <c r="L35" i="3"/>
  <c r="J35" i="3"/>
  <c r="I35" i="3"/>
  <c r="H35" i="3"/>
  <c r="G35" i="3"/>
  <c r="F35" i="3"/>
  <c r="E35" i="3"/>
  <c r="L34" i="3"/>
  <c r="J34" i="3"/>
  <c r="I34" i="3"/>
  <c r="H34" i="3"/>
  <c r="G34" i="3"/>
  <c r="F34" i="3"/>
  <c r="E34" i="3"/>
  <c r="L33" i="3"/>
  <c r="J33" i="3"/>
  <c r="I33" i="3"/>
  <c r="H33" i="3"/>
  <c r="G33" i="3"/>
  <c r="F33" i="3"/>
  <c r="E33" i="3"/>
  <c r="L32" i="3"/>
  <c r="J32" i="3"/>
  <c r="I32" i="3"/>
  <c r="H32" i="3"/>
  <c r="G32" i="3"/>
  <c r="F32" i="3"/>
  <c r="E32" i="3"/>
  <c r="L27" i="3"/>
  <c r="J27" i="3"/>
  <c r="I27" i="3"/>
  <c r="H27" i="3"/>
  <c r="G27" i="3"/>
  <c r="F27" i="3"/>
  <c r="E27" i="3"/>
  <c r="L26" i="3"/>
  <c r="J26" i="3"/>
  <c r="I26" i="3"/>
  <c r="H26" i="3"/>
  <c r="G26" i="3"/>
  <c r="F26" i="3"/>
  <c r="E26" i="3"/>
  <c r="L25" i="3"/>
  <c r="J25" i="3"/>
  <c r="I25" i="3"/>
  <c r="H25" i="3"/>
  <c r="G25" i="3"/>
  <c r="F25" i="3"/>
  <c r="E25" i="3"/>
  <c r="L24" i="3"/>
  <c r="J24" i="3"/>
  <c r="I24" i="3"/>
  <c r="H24" i="3"/>
  <c r="G24" i="3"/>
  <c r="F24" i="3"/>
  <c r="E24" i="3"/>
  <c r="L23" i="3"/>
  <c r="J23" i="3"/>
  <c r="I23" i="3"/>
  <c r="H23" i="3"/>
  <c r="G23" i="3"/>
  <c r="F23" i="3"/>
  <c r="E23" i="3"/>
  <c r="L22" i="3"/>
  <c r="J22" i="3"/>
  <c r="I22" i="3"/>
  <c r="H22" i="3"/>
  <c r="G22" i="3"/>
  <c r="F22" i="3"/>
  <c r="E22" i="3"/>
  <c r="L21" i="3"/>
  <c r="J21" i="3"/>
  <c r="I21" i="3"/>
  <c r="H21" i="3"/>
  <c r="G21" i="3"/>
  <c r="F21" i="3"/>
  <c r="E21" i="3"/>
  <c r="L20" i="3"/>
  <c r="J20" i="3"/>
  <c r="I20" i="3"/>
  <c r="H20" i="3"/>
  <c r="G20" i="3"/>
  <c r="F20" i="3"/>
  <c r="E20" i="3"/>
  <c r="L19" i="3"/>
  <c r="J19" i="3"/>
  <c r="I19" i="3"/>
  <c r="H19" i="3"/>
  <c r="G19" i="3"/>
  <c r="F19" i="3"/>
  <c r="E19" i="3"/>
  <c r="L18" i="3"/>
  <c r="J18" i="3"/>
  <c r="I18" i="3"/>
  <c r="H18" i="3"/>
  <c r="G18" i="3"/>
  <c r="F18" i="3"/>
  <c r="E18" i="3"/>
  <c r="L17" i="3"/>
  <c r="J17" i="3"/>
  <c r="I17" i="3"/>
  <c r="H17" i="3"/>
  <c r="G17" i="3"/>
  <c r="F17" i="3"/>
  <c r="E17" i="3"/>
  <c r="L16" i="3"/>
  <c r="J16" i="3"/>
  <c r="I16" i="3"/>
  <c r="H16" i="3"/>
  <c r="G16" i="3"/>
  <c r="F16" i="3"/>
  <c r="E16" i="3"/>
  <c r="L15" i="3"/>
  <c r="J15" i="3"/>
  <c r="I15" i="3"/>
  <c r="H15" i="3"/>
  <c r="G15" i="3"/>
  <c r="F15" i="3"/>
  <c r="E15" i="3"/>
  <c r="L14" i="3"/>
  <c r="J14" i="3"/>
  <c r="I14" i="3"/>
  <c r="H14" i="3"/>
  <c r="G14" i="3"/>
  <c r="F14" i="3"/>
  <c r="E14" i="3"/>
  <c r="L13" i="3"/>
  <c r="J13" i="3"/>
  <c r="I13" i="3"/>
  <c r="H13" i="3"/>
  <c r="G13" i="3"/>
  <c r="F13" i="3"/>
  <c r="E13" i="3"/>
  <c r="L12" i="3"/>
  <c r="J12" i="3"/>
  <c r="I12" i="3"/>
  <c r="H12" i="3"/>
  <c r="G12" i="3"/>
  <c r="F12" i="3"/>
  <c r="E12" i="3"/>
  <c r="L11" i="3"/>
  <c r="J11" i="3"/>
  <c r="I11" i="3"/>
  <c r="H11" i="3"/>
  <c r="G11" i="3"/>
  <c r="F11" i="3"/>
  <c r="E11" i="3"/>
  <c r="L10" i="3"/>
  <c r="J10" i="3"/>
  <c r="I10" i="3"/>
  <c r="H10" i="3"/>
  <c r="G10" i="3"/>
  <c r="F10" i="3"/>
  <c r="E10" i="3"/>
  <c r="L9" i="3"/>
  <c r="J9" i="3"/>
  <c r="I9" i="3"/>
  <c r="H9" i="3"/>
  <c r="G9" i="3"/>
  <c r="F9" i="3"/>
  <c r="E9" i="3"/>
  <c r="L8" i="3"/>
  <c r="J8" i="3"/>
  <c r="I8" i="3"/>
  <c r="H8" i="3"/>
  <c r="G8" i="3"/>
  <c r="F8" i="3"/>
  <c r="E8" i="3"/>
  <c r="L7" i="3"/>
  <c r="J7" i="3"/>
  <c r="I7" i="3"/>
  <c r="H7" i="3"/>
  <c r="G7" i="3"/>
  <c r="F7" i="3"/>
  <c r="E7" i="3"/>
  <c r="L6" i="3"/>
  <c r="J6" i="3"/>
  <c r="I6" i="3"/>
  <c r="H6" i="3"/>
  <c r="G6" i="3"/>
  <c r="F6" i="3"/>
  <c r="E6" i="3"/>
  <c r="L5" i="3"/>
  <c r="J5" i="3"/>
  <c r="I5" i="3"/>
  <c r="H5" i="3"/>
  <c r="G5" i="3"/>
  <c r="F5" i="3"/>
  <c r="F28" i="3" s="1"/>
  <c r="E5" i="3"/>
  <c r="N19" i="3" l="1"/>
  <c r="N6" i="3"/>
  <c r="N22" i="3"/>
  <c r="M17" i="3"/>
  <c r="N33" i="3"/>
  <c r="N27" i="3"/>
  <c r="N21" i="3"/>
  <c r="N20" i="3"/>
  <c r="N9" i="3"/>
  <c r="M6" i="3"/>
  <c r="N32" i="3"/>
  <c r="N34" i="3"/>
  <c r="N35" i="3"/>
  <c r="N25" i="3"/>
  <c r="N24" i="3"/>
  <c r="N14" i="3"/>
  <c r="N11" i="3"/>
  <c r="N26" i="3"/>
  <c r="N23" i="3"/>
  <c r="N15" i="3"/>
  <c r="N10" i="3"/>
  <c r="N8" i="3"/>
  <c r="N7" i="3"/>
  <c r="N12" i="3"/>
  <c r="K6" i="3"/>
  <c r="L28" i="3"/>
  <c r="J28" i="3"/>
  <c r="I28" i="3"/>
  <c r="N18" i="3"/>
  <c r="N13" i="3"/>
  <c r="G28" i="3"/>
  <c r="M35" i="3"/>
  <c r="K35" i="3"/>
  <c r="K34" i="3"/>
  <c r="M34" i="3"/>
  <c r="K33" i="3"/>
  <c r="M33" i="3"/>
  <c r="K32" i="3"/>
  <c r="M32" i="3"/>
  <c r="K27" i="3"/>
  <c r="M27" i="3"/>
  <c r="M26" i="3"/>
  <c r="K26" i="3"/>
  <c r="K25" i="3"/>
  <c r="M25" i="3"/>
  <c r="M24" i="3"/>
  <c r="K24" i="3"/>
  <c r="M23" i="3"/>
  <c r="K23" i="3"/>
  <c r="M22" i="3"/>
  <c r="K22" i="3"/>
  <c r="M21" i="3"/>
  <c r="K21" i="3"/>
  <c r="M20" i="3"/>
  <c r="K20" i="3"/>
  <c r="M19" i="3"/>
  <c r="K19" i="3"/>
  <c r="M18" i="3"/>
  <c r="K18" i="3"/>
  <c r="K17" i="3"/>
  <c r="N17" i="3"/>
  <c r="K16" i="3"/>
  <c r="N16" i="3"/>
  <c r="M16" i="3"/>
  <c r="K15" i="3"/>
  <c r="M15" i="3"/>
  <c r="M14" i="3"/>
  <c r="K14" i="3"/>
  <c r="M13" i="3"/>
  <c r="K13" i="3"/>
  <c r="K12" i="3"/>
  <c r="M12" i="3"/>
  <c r="K11" i="3"/>
  <c r="M11" i="3"/>
  <c r="M10" i="3"/>
  <c r="K10" i="3"/>
  <c r="M9" i="3"/>
  <c r="K9" i="3"/>
  <c r="M8" i="3"/>
  <c r="K8" i="3"/>
  <c r="M7" i="3"/>
  <c r="K7" i="3"/>
  <c r="H28" i="3"/>
  <c r="N5" i="3"/>
  <c r="K5" i="3"/>
  <c r="E28" i="3"/>
  <c r="M5" i="3"/>
  <c r="N28" i="3" l="1"/>
  <c r="M28" i="3"/>
  <c r="E37" i="3"/>
  <c r="K28" i="3"/>
</calcChain>
</file>

<file path=xl/sharedStrings.xml><?xml version="1.0" encoding="utf-8"?>
<sst xmlns="http://schemas.openxmlformats.org/spreadsheetml/2006/main" count="865" uniqueCount="452">
  <si>
    <t>Manual two-player checklist: N50/N52, UI6 and UI5 (Issue Reports #10 and #11)</t>
  </si>
  <si>
    <t>About</t>
  </si>
  <si>
    <t>Date / baseline</t>
  </si>
  <si>
    <t>2026-10-22. HEAD = 72a724c ('Ui5') plus the uncommitted working tree: UI6 (TASK-UI6) and N50/N52 (TASK-N50_N52). Line numbers are from the working tree.</t>
  </si>
  <si>
    <t>Sources</t>
  </si>
  <si>
    <t>Issue Report #11 §5 (its C = N50, B = UI6, A = UI5 in a build), Issue Report #10 §5 A, §9 of TASK-N50_N52 and TASK-UI6 (Docs/AI/Tasks/), and Codex's reports 2026-10-22_N50_N52_Implementation.md §6 and 2026-10-22_UI6_Implementation.md.</t>
  </si>
  <si>
    <t>Code review (Claude)</t>
  </si>
  <si>
    <t>I compared Codex's N50/N52 change with its start-of-task copies (build/n50-verification/baseline/). It matches the spec:
• The preview now finds the HUD canvas and the dock when a preview opens, not in Start, and finds them again after a scene change.
• The warning is logged at most once per controller.
• N52: a hovered card counts as gone only when the bottom row has no view of it, or when it's destroyed.
Codex's Play Mode harness passed every case, including the client order (a controller created under a stand-in Lobby canvas). Its release build succeeded. I didn't run Unity myself. No harness can play a real client, so section A is the real test.</t>
  </si>
  <si>
    <t>Why</t>
  </si>
  <si>
    <t>N50 blocks UI6. UI5 hasn't run in a player build yet: your build session on 2026-10-21 ran before UI5 was committed. When this checklist passes, UI6 and N50/N52 can be committed, and N47–N50 and N52 close.</t>
  </si>
  <si>
    <t>Who runs it</t>
  </si>
  <si>
    <t>The developer: A and B in two Unity Editors (ParrelSync), C with the Windows player build and the main Editor. The AI agents can't run two instances or judge how things look.</t>
  </si>
  <si>
    <t>Order</t>
  </si>
  <si>
    <t>A first: it's the bug you found. Then B: only the Game view size changes. C (the player build) last. There are no temporary code or asset changes this round.</t>
  </si>
  <si>
    <t>How to report</t>
  </si>
  <si>
    <t>1. Set Status on every row of the Checklist sheet. The Summary sheet updates by itself.
2. For every Fail, paste the Console text (error plus stack trace) into 'Console output / notes'. For a visual Fail, save a screenshot and write its file name there. Clear on Play is on, so copy the Console before you press Play again.
3. If you run rows on your second machine, write 'PC 2' in Tested by.
4. Tell Claude when you're done. Claude then updates the report and writes fix specs if needed.</t>
  </si>
  <si>
    <t>Legend</t>
  </si>
  <si>
    <t>Cells to fill in</t>
  </si>
  <si>
    <t>Only the yellow cells: Checklist → Status, Tested by, Date, Console output / notes; Clean-up → Done. Everything else is reference text or formulas.</t>
  </si>
  <si>
    <t>Pass</t>
  </si>
  <si>
    <t>Every expected result in the row was seen.</t>
  </si>
  <si>
    <t>Fail</t>
  </si>
  <si>
    <t>At least one expected result wasn't seen, or a new error appeared. Add the Console text or a screenshot name.</t>
  </si>
  <si>
    <t>Blocked</t>
  </si>
  <si>
    <t>The row couldn't be run (e.g. an earlier failure, the card never drawn). Say why in the notes.</t>
  </si>
  <si>
    <t>Not run</t>
  </si>
  <si>
    <t>Skipped on purpose. Fine for optional rows; for a required row it keeps the group open.</t>
  </si>
  <si>
    <t>N/A</t>
  </si>
  <si>
    <t>Doesn't apply in this setup. Counts like a Pass for the group result.</t>
  </si>
  <si>
    <t>Optional = Yes</t>
  </si>
  <si>
    <t>Optional rows don't hold back a group's Pass result. A8's rows ask for your opinion: write it in the notes.</t>
  </si>
  <si>
    <t>Grey text</t>
  </si>
  <si>
    <t>In a group's second and later rows, Check / Covers / Task / Run as / Size repeat the first row so that filtering works. An empty 'Steps' cell means: same steps as the row above.</t>
  </si>
  <si>
    <t>Example of a filled row</t>
  </si>
  <si>
    <t>ID / Status</t>
  </si>
  <si>
    <t>A1.1  →  Fail</t>
  </si>
  <si>
    <t>Tested by / Date</t>
  </si>
  <si>
    <t>Client window  /  2026-10-22</t>
  </si>
  <si>
    <t>Console output / notes</t>
  </si>
  <si>
    <t>No big card on hover at 1920×1080. clone-editor.log: &lt;paste the warning or exception here&gt;. Screenshot: A1-1_client.png.</t>
  </si>
  <si>
    <t>Preparation</t>
  </si>
  <si>
    <t>1. The clone with its own log</t>
  </si>
  <si>
    <t>2. Console</t>
  </si>
  <si>
    <t>In both Editors, open the Console: Collapse off, Clear on Play on.</t>
  </si>
  <si>
    <t>3. Clean start</t>
  </si>
  <si>
    <t>git status shows no change to Assets/Fonts/MPLUSRounded1c-Medium SDF.asset (Clean-up sheet). Both Editors are in English.</t>
  </si>
  <si>
    <t>4. Start a match</t>
  </si>
  <si>
    <t>Log in and go to the Lobby in both windows. The main Editor presses Create Lobby: from now on it's the host window. The clone presses Find Lobby, selects the lobby and presses Join: it's the client window. The host presses Start game. Section A needs the clone as the client: that's where N50 lived.</t>
  </si>
  <si>
    <t>5. Phase log</t>
  </si>
  <si>
    <t>GameMasterPrefab has m_debugMode = 1, so the host Console logs every phase: 'Round break phase started', 'DrawPhase started', 'Card selection phase started.', 'Player Action phase started', 'Waiting for Respawn', 'GameMaster: match ended …'.</t>
  </si>
  <si>
    <t>6. Game view sizes</t>
  </si>
  <si>
    <t>Game view → the size menu at the top → '+' → add Fixed Resolution presets: 640×480, 800×600, 1024×768, 1280×720, 1280×1024, 1360×768, 1366×768, 1920×1080, 2560×1600, 3440×1440. If the clone doesn't list them, add 1280×720 and 1920×1080 there too. If the Game view is smaller than a preset, Unity scales the picture down; that's fine for layout checks.</t>
  </si>
  <si>
    <t>Useful facts</t>
  </si>
  <si>
    <t>The big card</t>
  </si>
  <si>
    <t>Hovering a card in the bottom row, or left-clicking a card on the board, shows the card large at the left edge, vertically centred. It never takes clicks: they go through it to the board. It hides when the pointer leaves the row or on the next world click.</t>
  </si>
  <si>
    <t>The bottom row</t>
  </si>
  <si>
    <t>In Card Selection it shows your hand. In Player action it shows the cards you played this round.</t>
  </si>
  <si>
    <t>Two layouts</t>
  </si>
  <si>
    <t>Game view or window narrower than 1366: the compact layout (Leave match bottom-left, smaller hand cards). 1366 or wider: the normal layout (Leave match top-left).</t>
  </si>
  <si>
    <t>Phases (en)</t>
  </si>
  <si>
    <t>Line 1 of the announcer: 'Round preparation' (5 s; it still shows while cards are dealt), 'Card Selection' (60 s), 'Player action' (60 s per player), 'Waiting for respawn' (30 s). The number counts down.</t>
  </si>
  <si>
    <t>Turn order</t>
  </si>
  <si>
    <t>The player whose selected cards (play and discard) cost more goes first. To go second, select fewer or cheaper cards than the opponent.</t>
  </si>
  <si>
    <t>Controls</t>
  </si>
  <si>
    <t>Hand cards: left-click = play, right-click = discard. Confirm Turn confirms the selection in Card Selection, ends your Player action, and confirms the respawn block in Waiting for respawn.
Cast in your Player action: left-click a board card → click the target in the world → Confirm → Send.
W/A/S/D = one step (own Player action only). Space = −10 HP to yourself (own Player action only; Editor and development builds only).</t>
  </si>
  <si>
    <t>Cards (en / ru)</t>
  </si>
  <si>
    <t>Ice Shard / Ледяной осколок: 2 mana, 20 damage to the opponent's pony. Fireball / Огненный шар: 3 mana, 50 damage to an opponent block. Clarity / Ясность: 3 mana, draw 2. Healing Hooves / Исцеляющие копыта: 4 mana, heal yourself 30.</t>
  </si>
  <si>
    <t>Numbers</t>
  </si>
  <si>
    <t>Pony HP 100, block HP 100, 3 lives, 25 blocks per player. Mana 2 → 4 → 6 … up to 20. 2 new cards per player per round. Hand limit 10.</t>
  </si>
  <si>
    <t>Kill a pony at any moment</t>
  </si>
  <si>
    <t>In the host window's Scene view, select the pony (PonyBase(Clone)) and drag it sideways off its platform, or add about 20 to its Transform Position X or Z. It falls into the lava and dies. Host window only: the lava check runs on the server.</t>
  </si>
  <si>
    <t>Switch language</t>
  </si>
  <si>
    <t>Main menu → Settings (remembered). In the lobby or during a match: Window → Asset Management → Localization Scene Controls → Active Locale.</t>
  </si>
  <si>
    <t>Player build</t>
  </si>
  <si>
    <t>C:\Lesson\Spellcasters.Build\FallenStar-Spellcasters.exe. Its log: %USERPROFILE%\AppData\LocalLow\DefaultCompany\FallenStar-Spellcasters\Player.log (moved to Player-prev.log at each start). Codex has finished, so its test players no longer write this log.
Unity remembers the build's last window mode and size. Settings or -screen-fullscreen 1 -screen-width 2560 -screen-height 1600 sets it back.</t>
  </si>
  <si>
    <t>Changes from the last checklist (2026-10-21)</t>
  </si>
  <si>
    <t>IDs</t>
  </si>
  <si>
    <t>New numbering: A–C here aren't last round's A–D, nor report #11's A–C.</t>
  </si>
  <si>
    <t>The HUD</t>
  </si>
  <si>
    <t>UI6: the button column bottom-right, larger labels, the compact layout under 1366 wide (Leave match moves to the bottom-left), and the big card docked at the left instead of at the mouse.</t>
  </si>
  <si>
    <t>Your note on B4.3</t>
  </si>
  <si>
    <t>'Cant read buttons/cards text' became N47 (cards) and N48 (buttons). B2.3 and B2.4 check them. The residual for long descriptions is N51 (B6).</t>
  </si>
  <si>
    <t>Now fixed</t>
  </si>
  <si>
    <t>N47–N50, N52 and the 'Tried ShowPrew' log. Mark the row Fail if you see them again (Known issues sheet, second table).</t>
  </si>
  <si>
    <t>Baseline 72a724c plus the working tree (2026-10-22). Fill in only the yellow columns (Status, Tested by, Date, Console output / notes). 'Size' is the Game view size or the build's window; expected noise is on the Known issues sheet.</t>
  </si>
  <si>
    <t>ID</t>
  </si>
  <si>
    <t>Group</t>
  </si>
  <si>
    <t>Check</t>
  </si>
  <si>
    <t>Covers</t>
  </si>
  <si>
    <t>Task</t>
  </si>
  <si>
    <t>Run as</t>
  </si>
  <si>
    <t>Size</t>
  </si>
  <si>
    <t>Steps</t>
  </si>
  <si>
    <t>Expected result</t>
  </si>
  <si>
    <t>Optional</t>
  </si>
  <si>
    <t>Status</t>
  </si>
  <si>
    <t>Tested by</t>
  </si>
  <si>
    <t>Date</t>
  </si>
  <si>
    <t>A. The big card on both players: two Editors, the clone is the client (N50, N52)</t>
  </si>
  <si>
    <t>A1.1</t>
  </si>
  <si>
    <t>A1</t>
  </si>
  <si>
    <t>Client: hovering a hand card shows the big card</t>
  </si>
  <si>
    <t>N50, N47</t>
  </si>
  <si>
    <t>N50_N52</t>
  </si>
  <si>
    <t>Client</t>
  </si>
  <si>
    <t>1920×1080</t>
  </si>
  <si>
    <t>Start a match (Read me → Preparation). Set the clone's Game view to 1920×1080. In Card Selection, in the client window, move the pointer slowly onto each hand card.</t>
  </si>
  <si>
    <t>As soon as the pointer is on a card, its big card appears at the left edge, vertically centred and fully on screen. (Before the fix, nothing appeared on the client.)</t>
  </si>
  <si>
    <t>A1.2</t>
  </si>
  <si>
    <t>Move straight from one hand card to the next, then off the row.</t>
  </si>
  <si>
    <t>The big card switches to the card under the pointer, with no flicker and no empty moment. Off the row, it disappears.</t>
  </si>
  <si>
    <t>A1.3</t>
  </si>
  <si>
    <t>Hover a card and left-click it (play). Hover another one and right-click it (discard). Click both again to deselect.</t>
  </si>
  <si>
    <t>The big card stays visible while you click. The play and discard highlights work as before.</t>
  </si>
  <si>
    <t>A2.1</t>
  </si>
  <si>
    <t>A2</t>
  </si>
  <si>
    <t>Client: clicking a board card shows the big card; targeting still works</t>
  </si>
  <si>
    <t>Select 1–2 cards to play and press Confirm Turn. In the client's own Player action, left-click each of your board cards (your played cards lying on the table).</t>
  </si>
  <si>
    <t>Each click shows that card as the big card at the left.</t>
  </si>
  <si>
    <t>A2.2</t>
  </si>
  <si>
    <t>Left-click the opponent's board cards (the host must have played some this round).</t>
  </si>
  <si>
    <t>The big card shows the opponent's card too.</t>
  </si>
  <si>
    <t>A2.3</t>
  </si>
  <si>
    <t>Cast a card: click your board card → click its target (the opponent's pony for Ice Shard, an opponent block for Fireball) → Confirm → Send. If the target sits behind the big card at the left, click it there.</t>
  </si>
  <si>
    <t>The target click reaches the target even through the big card, and the cast resolves.</t>
  </si>
  <si>
    <t>A2.4</t>
  </si>
  <si>
    <t>With a big card shown, left-click empty ground or the sky.</t>
  </si>
  <si>
    <t>The big card disappears.</t>
  </si>
  <si>
    <t>A3.1</t>
  </si>
  <si>
    <t>A3</t>
  </si>
  <si>
    <t>A played card's big card stays while hovered and goes when the card leaves the row</t>
  </si>
  <si>
    <t>N52</t>
  </si>
  <si>
    <t>In the client's own Player action, with at least one played card in the bottom row, rest the pointer on a played card in that row. Don't move it for about 5 s.</t>
  </si>
  <si>
    <t>Its big card stays shown the whole time.</t>
  </si>
  <si>
    <t>A3.2</t>
  </si>
  <si>
    <t>Keep the pointer still on an unused played card in the bottom row until your Player action ends (the countdown reaches 0, about 60 s).</t>
  </si>
  <si>
    <t>When your Player action ends, the row empties and the big card disappears with it. It doesn't stay on screen.</t>
  </si>
  <si>
    <t>A4.1</t>
  </si>
  <si>
    <t>A4</t>
  </si>
  <si>
    <t>Client: the big card at a low size</t>
  </si>
  <si>
    <t>N50, UI6</t>
  </si>
  <si>
    <t>1280×720</t>
  </si>
  <si>
    <t>Set the clone's Game view to 1280×720 (the low layout). Repeat A1.1 and A2.1 on the client.</t>
  </si>
  <si>
    <t>The compact HUD. The big card appears at the left, smaller than at 1920×1080, fully on screen.</t>
  </si>
  <si>
    <t>A4.2</t>
  </si>
  <si>
    <t>With a big card shown, switch the clone's Game view between 1280×720 and 1920×1080.</t>
  </si>
  <si>
    <t>If the big card is still shown, it resizes at once to fit. If the click on the size menu hid it (Known issues), hover a card again: it shows at the new size.</t>
  </si>
  <si>
    <t>Yes</t>
  </si>
  <si>
    <t>A5.1</t>
  </si>
  <si>
    <t>A5</t>
  </si>
  <si>
    <t>Host: nothing changed</t>
  </si>
  <si>
    <t>N50 (host side)</t>
  </si>
  <si>
    <t>Host</t>
  </si>
  <si>
    <t>In the host window (main Editor, Game view 1920×1080), repeat A1.1–A1.3 and A2.1–A2.4.</t>
  </si>
  <si>
    <t>The same results as on the client. The big card has the same size and place as on the client at the same Game view size.</t>
  </si>
  <si>
    <t>A6.1</t>
  </si>
  <si>
    <t>A6</t>
  </si>
  <si>
    <t>A second match without restarting the Editors</t>
  </si>
  <si>
    <t>N50</t>
  </si>
  <si>
    <t>Both</t>
  </si>
  <si>
    <t>any</t>
  </si>
  <si>
    <t>Finish the match (or the client presses Leave match → Leave). From the Result screen go back, then create, join and start a new match with the same two Editors. Don't stop Play Mode or restart either Editor.</t>
  </si>
  <si>
    <t>In the second match, hovering (A1.1) and board clicks (A2.1) show the big card on the client.</t>
  </si>
  <si>
    <t>A6.2</t>
  </si>
  <si>
    <t>The same on the host.</t>
  </si>
  <si>
    <t>A7.1</t>
  </si>
  <si>
    <t>A7</t>
  </si>
  <si>
    <t>Both Editor logs are clean</t>
  </si>
  <si>
    <t>N50, N34</t>
  </si>
  <si>
    <t>—</t>
  </si>
  <si>
    <t>After A1–A6, search the main Editor's Console and C:\Lesson\clone-editor.log for 'no screen-space canvas' and 'Exception'.</t>
  </si>
  <si>
    <t>No 'CardPreviewController: no screen-space canvas found; previews are disabled.' in either. No exception from game code (the expected ones are on the Known issues sheet).</t>
  </si>
  <si>
    <t>A8.1</t>
  </si>
  <si>
    <t>A8</t>
  </si>
  <si>
    <t>Your notes: does the big card get in the way?</t>
  </si>
  <si>
    <t>U15, U16</t>
  </si>
  <si>
    <t>UI6</t>
  </si>
  <si>
    <t>During A1–A6, in both windows: did the big card ever cover something you needed? For example the left side of the board, the banner's left end, or the leftmost hand cards at 1280×720.</t>
  </si>
  <si>
    <t>Write your answer in the notes. Pass = it never got in the way. Fail = it did; say where. (U15. The fallback is V2b: the big card at the mouse.)</t>
  </si>
  <si>
    <t>A8.2</t>
  </si>
  <si>
    <t>In Card Selection: did the hover big card distract you (flicker, covering, appearing too eagerly)?</t>
  </si>
  <si>
    <t>Write your answer in the notes. Pass = fine. Fail = distracting. (U16. The fallbacks are V2c, board cards only, or a hover delay of about 0.3 s.)</t>
  </si>
  <si>
    <t>B. The UI6 HUD at several Game view sizes: two Editors</t>
  </si>
  <si>
    <t>B1.1</t>
  </si>
  <si>
    <t>B1</t>
  </si>
  <si>
    <t>2560×1600: the HUD as before, plus the new button column</t>
  </si>
  <si>
    <t>UI6, N48</t>
  </si>
  <si>
    <t>Either</t>
  </si>
  <si>
    <t>2560×1600</t>
  </si>
  <si>
    <t>Main Editor's Game view 2560×1600, during a match. Compare the HUD with the last checklist or your memory.</t>
  </si>
  <si>
    <t>HP, Life and mana top-right; Leave match top-left; the banner top-centre; the hand bottom-centre: as before. Changed on purpose: Confirm, Send and Confirm Turn form one column bottom-right, all with the wide wooden plank, and the labels are slightly larger.</t>
  </si>
  <si>
    <t>B1.2</t>
  </si>
  <si>
    <t>In your own Player action, select a board card and a target so that Confirm and Send show. Look in en, ru and ja (Localization Scene Controls).</t>
  </si>
  <si>
    <t>Top to bottom: Confirm, Send, Confirm Turn, not overlapping. Every label fits inside its button: 'Подтвердить', 'Отправить', 'Подтвердить ход' in ru; '確認', '送信', 'ターンを確認' in ja.</t>
  </si>
  <si>
    <t>B2.1</t>
  </si>
  <si>
    <t>B2</t>
  </si>
  <si>
    <t>Low sizes: the compact layout, readable in en, ru and ja</t>
  </si>
  <si>
    <t>UI6, N47, N48</t>
  </si>
  <si>
    <t>640×480 … 1360×768</t>
  </si>
  <si>
    <t>Game view 1280×720, during a match.</t>
  </si>
  <si>
    <t>The compact layout: the banner top-centre, HP/Life/mana top-right, Leave match bottom-left, the hand bottom-centre with smaller cards, the button column bottom-right. Nothing cut, nothing overlapping.</t>
  </si>
  <si>
    <t>B2.2</t>
  </si>
  <si>
    <t>The same at 640×480, 800×600, 1024×768, 1280×1024 and 1360×768.</t>
  </si>
  <si>
    <t>Same as B2.1 at every size.</t>
  </si>
  <si>
    <t>B2.3</t>
  </si>
  <si>
    <t>At 1024×768, switch en → ru → ja. In each language read the announcer, HP/Life/mana, Leave match and the three buttons (select a board card and a target to show Confirm and Send).</t>
  </si>
  <si>
    <t>All text is readable in all three languages, and every label fits inside its button.</t>
  </si>
  <si>
    <t>B2.4</t>
  </si>
  <si>
    <t>At 1024×768, hover a hand card in Card Selection, and click a board card in Player action. Read the big card.</t>
  </si>
  <si>
    <t>The card name and description are readable. This is last round's failed B4.3 ('Cant read buttons/cards text': N47, N48). Long Russian descriptions are smaller (B6, N51).</t>
  </si>
  <si>
    <t>B2.5</t>
  </si>
  <si>
    <t>At 640×480, press Leave match, then Cancel.</t>
  </si>
  <si>
    <t>The dark panel covers the view, and the dialog with both buttons fits on screen. Cancel closes it.</t>
  </si>
  <si>
    <t>B3.1</t>
  </si>
  <si>
    <t>B3</t>
  </si>
  <si>
    <t>The layout switch at 1366 wide</t>
  </si>
  <si>
    <t>1360×768 ↔ 1366×768</t>
  </si>
  <si>
    <t>During a match with 5 or more hand cards, switch the Game view 1360×768 → 1366×768 → 1360×768.</t>
  </si>
  <si>
    <t>The layout switches at once each time (compact ↔ normal). The hand re-centres and re-spaces. No error in the Console.</t>
  </si>
  <si>
    <t>B4.1</t>
  </si>
  <si>
    <t>B4</t>
  </si>
  <si>
    <t>Medium and high sizes</t>
  </si>
  <si>
    <t>UI6, N48, N53</t>
  </si>
  <si>
    <t>1366×768, 1920×1080, 3440×1440</t>
  </si>
  <si>
    <t>Game view 1366×768, then 1920×1080, then 3440×1440, during a match, in en and in ru.</t>
  </si>
  <si>
    <t>All text is readable, and nothing is cut. The mana texts don't touch the banner (their boxes do: N53, Known issues).</t>
  </si>
  <si>
    <t>B4.2</t>
  </si>
  <si>
    <t>At each of the three sizes, hover a hand card and click a board card.</t>
  </si>
  <si>
    <t>The big card shows at the left, above the hand and below Leave match, fully on screen.</t>
  </si>
  <si>
    <t>B5.1</t>
  </si>
  <si>
    <t>B5</t>
  </si>
  <si>
    <t>The client's HUD matches the host's</t>
  </si>
  <si>
    <t>1920×1080, 1280×720</t>
  </si>
  <si>
    <t>Set both Game views to 1920×1080, then both to 1280×720. Compare the two windows during a match.</t>
  </si>
  <si>
    <t>At each size the client's HUD looks like the host's: the same layout, label sizes and big card size.</t>
  </si>
  <si>
    <t>B6.1</t>
  </si>
  <si>
    <t>B6</t>
  </si>
  <si>
    <t>Long Russian descriptions in the big card (your decision W1)</t>
  </si>
  <si>
    <t>N51</t>
  </si>
  <si>
    <t>1366×768</t>
  </si>
  <si>
    <t>Game view 1366×768, Russian. Show the big card of 'Исцеляющие копыта' (Healing Hooves, 4 mana; from round 2), and of 'Огненный шар' and 'Ледяной осколок' if you have them.</t>
  </si>
  <si>
    <t>Write in the notes whether the descriptions are comfortable to read. Pass = fine. Fail = too small. (Known: N51. Your answer settles decision W1.)</t>
  </si>
  <si>
    <t>C. Player build: Settings (UI5), the windowed size (N49) and the big card in a build</t>
  </si>
  <si>
    <t>C1.1</t>
  </si>
  <si>
    <t>C1</t>
  </si>
  <si>
    <t>Release player build</t>
  </si>
  <si>
    <t>UI5 + UI6</t>
  </si>
  <si>
    <t>Build</t>
  </si>
  <si>
    <t>With both Editors out of Play Mode: File → Build Profiles → Windows, Development Build off. Build to C:\Lesson\Spellcasters.Build\ (replace the old build).</t>
  </si>
  <si>
    <t>The build succeeds with no errors.</t>
  </si>
  <si>
    <t>C2.1</t>
  </si>
  <si>
    <t>C2</t>
  </si>
  <si>
    <t>Windowed: the largest size above the taskbar, then 1366×768</t>
  </si>
  <si>
    <t>UI5, N49</t>
  </si>
  <si>
    <t>window</t>
  </si>
  <si>
    <t>Start C:\Lesson\Spellcasters.Build\FallenStar-Spellcasters.exe. Main menu → Settings → Display mode → Windowed.</t>
  </si>
  <si>
    <t>A window with a title bar. On your 2560×1600 display it's 1920 × 1200, and the whole window, title bar and bottom edge, is above the taskbar. Resolution shows 1920 × 1200. (On PC 2: the largest size of the display's shape that fits above its taskbar.)</t>
  </si>
  <si>
    <t>C2.2</t>
  </si>
  <si>
    <t>Open the Resolution list and pick the largest size.</t>
  </si>
  <si>
    <t>The whole window, title bar included, is still on screen and above the taskbar.</t>
  </si>
  <si>
    <t>C2.3</t>
  </si>
  <si>
    <t>Resolution → 1366 × 768.</t>
  </si>
  <si>
    <t>The window shrinks to 1366×768. Nothing on the Settings screen is cut.</t>
  </si>
  <si>
    <t>C3.1</t>
  </si>
  <si>
    <t>C3</t>
  </si>
  <si>
    <t>Fullscreen: native size, then 1920×1080 with bars</t>
  </si>
  <si>
    <t>UI5</t>
  </si>
  <si>
    <t>fullscreen</t>
  </si>
  <si>
    <t>Display mode → Fullscreen.</t>
  </si>
  <si>
    <t>The game fills the display at its native size (2560 × 1600 on your display), and Resolution shows that size.</t>
  </si>
  <si>
    <t>C3.2</t>
  </si>
  <si>
    <t>Resolution → 1920 × 1080.</t>
  </si>
  <si>
    <t>Black bars at the top and bottom, no stretching. Clicks land where the buttons are drawn: try both dropdowns.</t>
  </si>
  <si>
    <t>C4.1</t>
  </si>
  <si>
    <t>C4</t>
  </si>
  <si>
    <t>Alt+Enter: the Display mode dropdown follows</t>
  </si>
  <si>
    <t>On the Settings screen, press Alt+Enter, wait a second, and press it again.</t>
  </si>
  <si>
    <t>The game switches windowed ↔ fullscreen, and the Display mode and Resolution dropdowns follow each switch.</t>
  </si>
  <si>
    <t>C5.1</t>
  </si>
  <si>
    <t>C5</t>
  </si>
  <si>
    <t>The Settings screen follows a language switch</t>
  </si>
  <si>
    <t>On the Settings screen: Language → Русский, then 日本語, then English.</t>
  </si>
  <si>
    <t>The labels and options follow: 'Режим экрана', 'Разрешение', 'Полноэкранный' / 'Оконный'; '表示モード', '解像度', 'フルスクリーン' / 'ウィンドウ'. The Language dropdown shows the chosen language each time.</t>
  </si>
  <si>
    <t>C6.1</t>
  </si>
  <si>
    <t>C6</t>
  </si>
  <si>
    <t>Mode and size survive a restart; the command line wins</t>
  </si>
  <si>
    <t>Settings → Fullscreen, Resolution → the native size. Quit the game and start it again.</t>
  </si>
  <si>
    <t>It starts fullscreen at the native size, and Settings shows Fullscreen and that size.</t>
  </si>
  <si>
    <t>C6.2</t>
  </si>
  <si>
    <t>A 1366×768 window. Settings shows Windowed and 1366 × 768.</t>
  </si>
  <si>
    <t>C7.1</t>
  </si>
  <si>
    <t>C7</t>
  </si>
  <si>
    <t>The normal route: Login → Main menu → Settings → Back</t>
  </si>
  <si>
    <t>Quit and start the build normally. Go Login → Main menu → Settings → Back.</t>
  </si>
  <si>
    <t>Every screen works, and Back returns to the Main menu. No error.</t>
  </si>
  <si>
    <t>C8.1</t>
  </si>
  <si>
    <t>C8</t>
  </si>
  <si>
    <t>A windowed match in the build, as host and as client</t>
  </si>
  <si>
    <t>UI5, UI6, N50</t>
  </si>
  <si>
    <t>Build + Editor</t>
  </si>
  <si>
    <t>1024×768 window</t>
  </si>
  <si>
    <t>In the build: Settings → Windowed, 1024 × 768. The build creates a lobby (host), the main Editor joins (client), and the build starts the match. In the build, hover a hand card and click a board card.</t>
  </si>
  <si>
    <t>The compact HUD fills the window and follows its corners. The big card shows in the build.</t>
  </si>
  <si>
    <t>C8.2</t>
  </si>
  <si>
    <t>During a Player action, click another app and stay there for about 10 s.</t>
  </si>
  <si>
    <t>The match keeps running in the Editor: the countdown continues, and nothing disconnects.</t>
  </si>
  <si>
    <t>C8.3</t>
  </si>
  <si>
    <t>Next match: the main Editor creates the lobby (host), and the build joins (client). In the build, hover hand cards and click board cards.</t>
  </si>
  <si>
    <t>The big card shows in the build as the client: N50's fix works in a release player.</t>
  </si>
  <si>
    <t>C9.1</t>
  </si>
  <si>
    <t>C9</t>
  </si>
  <si>
    <t>Player.log is clean</t>
  </si>
  <si>
    <t>Quit the build right after C8.3 and open Player.log (Read me → Useful facts). The next start replaces it.</t>
  </si>
  <si>
    <t>No 'no screen-space canvas found', no 'Tried ShowPrew', and no exception from game code.</t>
  </si>
  <si>
    <t>Results summary</t>
  </si>
  <si>
    <t>Calculated from the Checklist sheet; don't edit. Result: Fail if any row failed, Blocked if any row is blocked, Pass when every required row is Pass or N/A, Optional when a group has only optional rows and none is filled in.</t>
  </si>
  <si>
    <t>Items</t>
  </si>
  <si>
    <t>Required</t>
  </si>
  <si>
    <t>Not run / empty</t>
  </si>
  <si>
    <t>Open (required)</t>
  </si>
  <si>
    <t>Done %</t>
  </si>
  <si>
    <t>Result</t>
  </si>
  <si>
    <t>Total</t>
  </si>
  <si>
    <t>All checks</t>
  </si>
  <si>
    <t>By task</t>
  </si>
  <si>
    <t>What it covers</t>
  </si>
  <si>
    <t>The big card on a client (N50) and the played-card hover (N52)</t>
  </si>
  <si>
    <t>Readability profiles: the HUD layouts, labels, big card (N47, N48), U15/U16, N51</t>
  </si>
  <si>
    <t>Settings: display mode, resolution, restart (in a player build)</t>
  </si>
  <si>
    <t>Rows that cover both: the build, the windowed size (N49), the match in a build</t>
  </si>
  <si>
    <t>Check: the by-task Items column must add up to the Total row. Difference:</t>
  </si>
  <si>
    <t>Clean-up after the checks</t>
  </si>
  <si>
    <t>This round has no temporary code or asset changes. These are the settings the checks change on their own. Mark Done when each is back. Don't commit the font asset in its changed state.</t>
  </si>
  <si>
    <t>Used by</t>
  </si>
  <si>
    <t>What</t>
  </si>
  <si>
    <t>What changes</t>
  </si>
  <si>
    <t>Set back to</t>
  </si>
  <si>
    <t>How</t>
  </si>
  <si>
    <t>Done</t>
  </si>
  <si>
    <t>K1</t>
  </si>
  <si>
    <t>A, B, C5</t>
  </si>
  <si>
    <t>Language</t>
  </si>
  <si>
    <t>The locale is set to ru or ja during the checks</t>
  </si>
  <si>
    <t>English</t>
  </si>
  <si>
    <t>Editor: Main menu → Settings → English (or Localization Scene Controls). Build: Settings → English.</t>
  </si>
  <si>
    <t>K2</t>
  </si>
  <si>
    <t>C2–C8</t>
  </si>
  <si>
    <t>The build's window mode and size</t>
  </si>
  <si>
    <t>Unity remembers the build's last mode and size</t>
  </si>
  <si>
    <t>Your normal mode (fullscreen, native)</t>
  </si>
  <si>
    <t>Settings → Fullscreen and the native size, or start once with -screen-fullscreen 1 -screen-width 2560 -screen-height 1600.</t>
  </si>
  <si>
    <t>K3</t>
  </si>
  <si>
    <t>A, B</t>
  </si>
  <si>
    <t>Assets/Fonts/MPLUSRounded1c-Medium SDF.asset</t>
  </si>
  <si>
    <t>Changes on its own after ru or ja text renders in the Editor (N28)</t>
  </si>
  <si>
    <t>HEAD: the cleared state (empty glyph and character tables)</t>
  </si>
  <si>
    <t>With both Editors closed: git restore "Assets/Fonts/MPLUSRounded1c-Medium SDF.asset". The file has no other uncommitted change, and HEAD is byte-identical to Codex's baselines.</t>
  </si>
  <si>
    <t>Note</t>
  </si>
  <si>
    <t>The clone's start command</t>
  </si>
  <si>
    <t>The clone was started from PowerShell with its own log</t>
  </si>
  <si>
    <t>Nothing to undo</t>
  </si>
  <si>
    <t>Next time, start it the same way (Read me → Preparation 1) or from ParrelSync as before.</t>
  </si>
  <si>
    <t>Game view presets</t>
  </si>
  <si>
    <t>Presets added in Preparation 6</t>
  </si>
  <si>
    <t>They stay in your Editor; keep them for the next checklist.</t>
  </si>
  <si>
    <t>Clean-up items not yet done:</t>
  </si>
  <si>
    <t>must be 0 before any commit</t>
  </si>
  <si>
    <t>What you may see during the checks</t>
  </si>
  <si>
    <t>Known and expected: don't mark a row Fail for these</t>
  </si>
  <si>
    <t>You see</t>
  </si>
  <si>
    <t>Notes</t>
  </si>
  <si>
    <t>At low sizes (e.g. 640×480) the big card covers the leftmost hand cards.</t>
  </si>
  <si>
    <t>Accepted in UI6. Note it in A8.1 if it bothers you (U15).</t>
  </si>
  <si>
    <t>Long descriptions in the big card are smaller than the other text, most of all in Russian ('Исцеляющие копыта', 'Огненный шар', 'Ледяной осколок'). Russian card names can be very small at 640×480.</t>
  </si>
  <si>
    <t>Known: the text box is fixed by the card art. B6.1 asks for your opinion (decision W1).</t>
  </si>
  <si>
    <t>Selection outlines show the mana bars' boxes reaching into the banner's boxes at 1366 wide and above.</t>
  </si>
  <si>
    <t>N53</t>
  </si>
  <si>
    <t>Accepted: the texts don't touch. Mark Fail only if the texts themselves touch.</t>
  </si>
  <si>
    <t>The big card stays while you click to play or discard, and a world click hides it before showing the next one.</t>
  </si>
  <si>
    <t>By design.</t>
  </si>
  <si>
    <t>Changing the Game view size while a big card is shown may hide it: the click on the size menu can count as a world click.</t>
  </si>
  <si>
    <t>Editor only, not a fault. Hover the card again (A4.2).</t>
  </si>
  <si>
    <t>The menus (Login, Main menu, Settings, Lobby, Result) are tiny or cramped below 1024×720.</t>
  </si>
  <si>
    <t>UI7</t>
  </si>
  <si>
    <t>Planned: only the match HUD has the compact layout so far. Don't mark B rows Fail for the menus.</t>
  </si>
  <si>
    <t>Settings never offers a size under 1024 × 720.</t>
  </si>
  <si>
    <t>By design until UI7.</t>
  </si>
  <si>
    <t>The warning 'Invalid mane material index.' on every pony spawn.</t>
  </si>
  <si>
    <t>N27</t>
  </si>
  <si>
    <t>Parked by you until the mane model exists.</t>
  </si>
  <si>
    <t>Many plain log lines in the Console and Player.log: 'DespawnBlock' (84 at match end), 'Process called', 'Rpc called', 'RepairCalled', 'Card clicked', 'Card Alter clicked'.</t>
  </si>
  <si>
    <t>N34</t>
  </si>
  <si>
    <t>Ungated logs; a hygiene task is pending.</t>
  </si>
  <si>
    <t>'No card selected for control package.' when Confirm is pressed with no board card selected.</t>
  </si>
  <si>
    <t>Expected warning.</t>
  </si>
  <si>
    <t>'Send ignored: no card target was confirmed.'</t>
  </si>
  <si>
    <t>N20</t>
  </si>
  <si>
    <t>Expected: Send needs a confirmed target. No message on screen (feature gap).</t>
  </si>
  <si>
    <t>'Remote client disconnected. Host continue' when the opponent leaves.</t>
  </si>
  <si>
    <t>H6</t>
  </si>
  <si>
    <t>Expected: the forfeit path.</t>
  </si>
  <si>
    <t>'Bootstrap: No saved language code found.' on the very first start.</t>
  </si>
  <si>
    <t>M12</t>
  </si>
  <si>
    <t>Expected until a language is picked once.</t>
  </si>
  <si>
    <t>The countdown shows 00 for a moment before the phase changes.</t>
  </si>
  <si>
    <t>N36</t>
  </si>
  <si>
    <t>Cosmetic; mark Fail only if it stays for more than about 1 s.</t>
  </si>
  <si>
    <t>'Round preparation' still shows while cards are dealt.</t>
  </si>
  <si>
    <t>Feature gap: no draw phase is set.</t>
  </si>
  <si>
    <t>With 10 cards the hand cards overlap a little; the right card takes the click.</t>
  </si>
  <si>
    <t>UI3</t>
  </si>
  <si>
    <t>On 16:10 the menus fill slightly less of the screen height than on 16:9.</t>
  </si>
  <si>
    <t>UI2</t>
  </si>
  <si>
    <t>By design: Expand never cuts anything.</t>
  </si>
  <si>
    <t>The lobby player item shows the short ID as the name and the full ID under it.</t>
  </si>
  <si>
    <t>N29</t>
  </si>
  <si>
    <t>Parked by you.</t>
  </si>
  <si>
    <t>Lobby or network failures appear only in the Console, with no message on screen.</t>
  </si>
  <si>
    <t>Feature gap.</t>
  </si>
  <si>
    <t>NGO NetworkSceneManager.Dispose → NullReferenceException when you stop Play Mode or quit the Editor.</t>
  </si>
  <si>
    <t>U9</t>
  </si>
  <si>
    <t>Inside NGO, during teardown.</t>
  </si>
  <si>
    <t>MPLUSRounded1c-Medium SDF.asset shows as modified in git status, or the clone logs 'Importer(NativeFormatImporter) generated inconsistent result' for it.</t>
  </si>
  <si>
    <t>N28</t>
  </si>
  <si>
    <t>Expected in the Editor. Restore it before committing (Clean-up, K3).</t>
  </si>
  <si>
    <t>Fixed since the last checklist: mark the row Fail if you see these</t>
  </si>
  <si>
    <t>Checked in</t>
  </si>
  <si>
    <t>On the client, no big card on hover or on a board click.</t>
  </si>
  <si>
    <t>A1, A2, A4, A6, C8.3</t>
  </si>
  <si>
    <t>'CardPreviewController: no screen-space canvas found; previews are disabled.'</t>
  </si>
  <si>
    <t>A7.1, C9.1</t>
  </si>
  <si>
    <t>A played card's big card disappears while the pointer rests on it in the bottom row.</t>
  </si>
  <si>
    <t>A played card's big card stays on screen after the card has left the row.</t>
  </si>
  <si>
    <t>Card names or descriptions unreadable in the preview at 1024×768 (except N51's long texts).</t>
  </si>
  <si>
    <t>N47</t>
  </si>
  <si>
    <t>Button or HUD labels unreadable at small sizes.</t>
  </si>
  <si>
    <t>N48</t>
  </si>
  <si>
    <t>The windowed build is taller than the space above the taskbar, or its bottom edge is hidden under the taskbar.</t>
  </si>
  <si>
    <t>N49</t>
  </si>
  <si>
    <t>C2.1, C2.2</t>
  </si>
  <si>
    <t>'Tried ShowPrew' in the Console or Player.log.</t>
  </si>
  <si>
    <t>N34 (part)</t>
  </si>
  <si>
    <t>Close the clone Editor if it's open. Then start it from PowerShell, so that it writes its own log:
&amp; 'C:\Program Files\Unity\Hub\Editor\6000.3.13f1\Editor\Unity.exe' -projectPath 'C:\Lesson\FallenStar-Spellcasters_clone_1' -logFile 'C:\Lesson\clone-editor.log'
Open the main project as usual. The clone shares Assets, so it runs the same code. Last time both Editors wrote into one Editor.log, and most of the client's lines were lost.</t>
    <phoneticPr fontId="12"/>
  </si>
  <si>
    <t>Owner</t>
    <phoneticPr fontId="12"/>
  </si>
  <si>
    <t>it never got in the way, all visible</t>
    <phoneticPr fontId="12"/>
  </si>
  <si>
    <t>Fine, in future possible add disapering/show on animation</t>
    <phoneticPr fontId="12"/>
  </si>
  <si>
    <t>Fine</t>
    <phoneticPr fontId="12"/>
  </si>
  <si>
    <t>Finded</t>
    <phoneticPr fontId="12"/>
  </si>
  <si>
    <t>When host close his application, client don’t get a result scene. But when client close app - host get result scene as winner.</t>
    <phoneticPr fontId="12"/>
  </si>
  <si>
    <t>Quit. In PowerShell: &amp; 'C:\Lesson\Spellcasters.Build\FallenStar-Spellcasters.exe' -screen-fullscreen 0 -screen-width 1366 -screen-height 768. Open Settings.</t>
    <phoneticPr fontId="12"/>
  </si>
  <si>
    <t>Work if point card in bottom HUD, don’t work if point and click on board card</t>
    <phoneticPr fontId="12"/>
  </si>
  <si>
    <t>Same issue. We can preview clients card on map. Host's card OK.</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</si>
</sst>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x14ac:knownFonts="1">
    <font>
      <sz val="11"/>
      <color theme="1"/>
      <name val="ＭＳ Ｐゴシック"/>
      <family val="2"/>
      <scheme val="minor"/>
    </font>
    <font>
      <b/>
      <sz val="16"/>
      <color rgb="FF1F3A5F"/>
      <name val="Arial"/>
    </font>
    <font>
      <b/>
      <sz val="12"/>
      <color rgb="FF1F3A5F"/>
      <name val="Arial"/>
    </font>
    <font>
      <b/>
      <sz val="10"/>
      <name val="Arial"/>
    </font>
    <font>
      <sz val="10"/>
      <name val="Arial"/>
    </font>
    <font>
      <b/>
      <sz val="14"/>
      <color rgb="FF1F3A5F"/>
      <name val="Arial"/>
    </font>
    <font>
      <sz val="10"/>
      <color rgb="FF404040"/>
      <name val="Arial"/>
    </font>
    <font>
      <b/>
      <sz val="10"/>
      <color rgb="FFFFFFFF"/>
      <name val="Arial"/>
    </font>
    <font>
      <b/>
      <sz val="11"/>
      <color rgb="FF1F3A5F"/>
      <name val="Arial"/>
    </font>
    <font>
      <b/>
      <sz val="10"/>
      <color rgb="FF000000"/>
      <name val="Arial"/>
    </font>
    <font>
      <sz val="10"/>
      <color rgb="FF000000"/>
      <name val="Arial"/>
    </font>
    <font>
      <sz val="10"/>
      <color rgb="FF808080"/>
      <name val="Arial"/>
    </font>
    <font>
      <sz val="6"/>
      <name val="ＭＳ Ｐゴシック"/>
      <family val="3"/>
      <charset val="128"/>
      <scheme val="minor"/>
    </font>
    <font>
      <sz val="10"/>
      <name val="Arial"/>
      <family val="2"/>
    </font>
    <font>
      <sz val="10"/>
      <color rgb="FF000000"/>
      <name val="Arial"/>
      <family val="2"/>
    </font>
  </fonts>
  <fills count="6">
    <fill>
      <patternFill patternType="none"/>
    </fill>
    <fill>
      <patternFill patternType="gray125"/>
    </fill>
    <fill>
      <patternFill patternType="solid">
        <fgColor rgb="FFD9E2F3"/>
      </patternFill>
    </fill>
    <fill>
      <patternFill patternType="solid">
        <fgColor rgb="FF1F3A5F"/>
      </patternFill>
    </fill>
    <fill>
      <patternFill patternType="solid">
        <fgColor rgb="FFF3F6FA"/>
      </patternFill>
    </fill>
    <fill>
      <patternFill patternType="solid">
        <fgColor rgb="FFFFF7D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2" fillId="2" borderId="0" xfId="0" applyFont="1" applyFill="1"/>
    <xf numFmtId="0" fontId="0" fillId="2" borderId="0" xfId="0" applyFill="1"/>
    <xf numFmtId="0" fontId="3" fillId="0" borderId="0" xfId="0" applyFont="1" applyAlignment="1">
      <alignment vertical="top" wrapText="1"/>
    </xf>
    <xf numFmtId="0" fontId="4" fillId="0" borderId="0" xfId="0" applyFont="1" applyAlignment="1">
      <alignment vertical="top" wrapText="1"/>
    </xf>
    <xf numFmtId="0" fontId="6" fillId="0" borderId="0" xfId="0" applyFont="1"/>
    <xf numFmtId="0" fontId="7" fillId="3" borderId="1" xfId="0" applyFont="1" applyFill="1" applyBorder="1" applyAlignment="1">
      <alignment vertical="center" wrapText="1"/>
    </xf>
    <xf numFmtId="0" fontId="9" fillId="4" borderId="1" xfId="0" applyFont="1" applyFill="1" applyBorder="1" applyAlignment="1">
      <alignment vertical="top" wrapText="1"/>
    </xf>
    <xf numFmtId="0" fontId="10" fillId="4" borderId="1" xfId="0" applyFont="1" applyFill="1" applyBorder="1" applyAlignment="1">
      <alignment vertical="top" wrapText="1"/>
    </xf>
    <xf numFmtId="0" fontId="4" fillId="5" borderId="1" xfId="0" applyFont="1" applyFill="1" applyBorder="1" applyAlignment="1">
      <alignment vertical="top" wrapText="1"/>
    </xf>
    <xf numFmtId="176" fontId="4" fillId="5" borderId="1" xfId="0" applyNumberFormat="1" applyFont="1" applyFill="1" applyBorder="1" applyAlignment="1">
      <alignment vertical="top" wrapText="1"/>
    </xf>
    <xf numFmtId="0" fontId="11" fillId="4"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9" fontId="4" fillId="0" borderId="1" xfId="0" applyNumberFormat="1" applyFont="1" applyBorder="1" applyAlignment="1">
      <alignment vertical="top" wrapText="1"/>
    </xf>
    <xf numFmtId="0" fontId="3" fillId="2" borderId="1" xfId="0" applyFont="1" applyFill="1" applyBorder="1" applyAlignment="1">
      <alignment vertical="top" wrapText="1"/>
    </xf>
    <xf numFmtId="9" fontId="3" fillId="2" borderId="1" xfId="0" applyNumberFormat="1" applyFont="1" applyFill="1" applyBorder="1" applyAlignment="1">
      <alignment vertical="top" wrapText="1"/>
    </xf>
    <xf numFmtId="0" fontId="8" fillId="0" borderId="0" xfId="0" applyFont="1"/>
    <xf numFmtId="0" fontId="3" fillId="0" borderId="0" xfId="0" applyFont="1"/>
    <xf numFmtId="0" fontId="0" fillId="5" borderId="1" xfId="0" applyFill="1" applyBorder="1"/>
    <xf numFmtId="0" fontId="0" fillId="0" borderId="1" xfId="0" applyBorder="1"/>
    <xf numFmtId="0" fontId="7" fillId="3" borderId="1" xfId="0" applyFont="1" applyFill="1" applyBorder="1"/>
    <xf numFmtId="0" fontId="1" fillId="0" borderId="0" xfId="0" applyFont="1"/>
    <xf numFmtId="0" fontId="0" fillId="0" borderId="0" xfId="0"/>
    <xf numFmtId="0" fontId="8" fillId="2" borderId="0" xfId="0" applyFont="1" applyFill="1"/>
    <xf numFmtId="0" fontId="6" fillId="0" borderId="0" xfId="0" applyFont="1"/>
    <xf numFmtId="0" fontId="5" fillId="0" borderId="0" xfId="0" applyFont="1"/>
    <xf numFmtId="0" fontId="4" fillId="0" borderId="1" xfId="0" applyFont="1" applyBorder="1" applyAlignment="1">
      <alignment vertical="top" wrapText="1"/>
    </xf>
    <xf numFmtId="0" fontId="4" fillId="0" borderId="0" xfId="0" applyFont="1"/>
    <xf numFmtId="0" fontId="7" fillId="3" borderId="1" xfId="0" applyFont="1" applyFill="1" applyBorder="1" applyAlignment="1">
      <alignment vertical="center" wrapText="1"/>
    </xf>
    <xf numFmtId="0" fontId="0" fillId="0" borderId="2" xfId="0" applyBorder="1"/>
    <xf numFmtId="0" fontId="0" fillId="0" borderId="3" xfId="0" applyBorder="1"/>
    <xf numFmtId="0" fontId="6" fillId="0" borderId="0" xfId="0" applyFont="1" applyAlignment="1">
      <alignment vertical="top" wrapText="1"/>
    </xf>
    <xf numFmtId="0" fontId="3" fillId="0" borderId="0" xfId="0" applyFont="1"/>
    <xf numFmtId="0" fontId="13" fillId="0" borderId="0" xfId="0" applyFont="1" applyAlignment="1">
      <alignment vertical="top" wrapText="1"/>
    </xf>
    <xf numFmtId="0" fontId="13" fillId="5" borderId="1" xfId="0" applyFont="1" applyFill="1" applyBorder="1" applyAlignment="1">
      <alignment vertical="top" wrapText="1"/>
    </xf>
    <xf numFmtId="0" fontId="13" fillId="0" borderId="0" xfId="0" applyFont="1" applyFill="1" applyBorder="1" applyAlignment="1">
      <alignment vertical="top" wrapText="1"/>
    </xf>
    <xf numFmtId="0" fontId="14" fillId="0" borderId="1" xfId="0" applyFont="1" applyBorder="1" applyAlignment="1">
      <alignment vertical="top" wrapText="1"/>
    </xf>
  </cellXfs>
  <cellStyles count="1">
    <cellStyle name="標準" xfId="0" builtinId="0"/>
  </cellStyles>
  <dxfs count="18">
    <dxf>
      <fill>
        <patternFill patternType="solid">
          <fgColor rgb="FFE7E6E6"/>
          <bgColor rgb="FFE7E6E6"/>
        </patternFill>
      </fill>
    </dxf>
    <dxf>
      <fill>
        <patternFill patternType="solid">
          <fgColor rgb="FFFFC7CE"/>
          <bgColor rgb="FFFFC7CE"/>
        </patternFill>
      </fill>
    </dxf>
    <dxf>
      <fill>
        <patternFill patternType="solid">
          <fgColor rgb="FFC6EFCE"/>
          <bgColor rgb="FFC6EFCE"/>
        </patternFill>
      </fill>
    </dxf>
    <dxf>
      <fill>
        <patternFill patternType="solid">
          <fgColor rgb="FFE7E6E6"/>
          <bgColor rgb="FFE7E6E6"/>
        </patternFill>
      </fill>
    </dxf>
    <dxf>
      <fill>
        <patternFill patternType="solid">
          <fgColor rgb="FFDDEBF7"/>
          <bgColor rgb="FFDDEBF7"/>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
      <fill>
        <patternFill patternType="solid">
          <fgColor rgb="FFE7E6E6"/>
          <bgColor rgb="FFE7E6E6"/>
        </patternFill>
      </fill>
    </dxf>
    <dxf>
      <fill>
        <patternFill patternType="solid">
          <fgColor rgb="FFDDEBF7"/>
          <bgColor rgb="FFDDEBF7"/>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
      <fill>
        <patternFill patternType="solid">
          <fgColor rgb="FFE7E6E6"/>
          <bgColor rgb="FFE7E6E6"/>
        </patternFill>
      </fill>
    </dxf>
    <dxf>
      <fill>
        <patternFill patternType="solid">
          <fgColor rgb="FFE7E6E6"/>
          <bgColor rgb="FFE7E6E6"/>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opLeftCell="A21" workbookViewId="0">
      <selection activeCell="B46" sqref="B46"/>
    </sheetView>
  </sheetViews>
  <sheetFormatPr defaultRowHeight="13.5" x14ac:dyDescent="0.15"/>
  <cols>
    <col min="1" max="1" width="26" customWidth="1"/>
    <col min="2" max="2" width="104" customWidth="1"/>
  </cols>
  <sheetData>
    <row r="1" spans="1:2" ht="20.25" x14ac:dyDescent="0.3">
      <c r="A1" s="25" t="s">
        <v>0</v>
      </c>
      <c r="B1" s="26"/>
    </row>
    <row r="3" spans="1:2" ht="15.75" x14ac:dyDescent="0.25">
      <c r="A3" s="1" t="s">
        <v>1</v>
      </c>
      <c r="B3" s="2"/>
    </row>
    <row r="4" spans="1:2" ht="25.5" x14ac:dyDescent="0.15">
      <c r="A4" s="3" t="s">
        <v>2</v>
      </c>
      <c r="B4" s="4" t="s">
        <v>3</v>
      </c>
    </row>
    <row r="5" spans="1:2" ht="25.5" x14ac:dyDescent="0.15">
      <c r="A5" s="3" t="s">
        <v>4</v>
      </c>
      <c r="B5" s="4" t="s">
        <v>5</v>
      </c>
    </row>
    <row r="6" spans="1:2" ht="76.5" x14ac:dyDescent="0.15">
      <c r="A6" s="3" t="s">
        <v>6</v>
      </c>
      <c r="B6" s="4" t="s">
        <v>7</v>
      </c>
    </row>
    <row r="7" spans="1:2" ht="25.5" x14ac:dyDescent="0.15">
      <c r="A7" s="3" t="s">
        <v>8</v>
      </c>
      <c r="B7" s="4" t="s">
        <v>9</v>
      </c>
    </row>
    <row r="8" spans="1:2" ht="25.5" x14ac:dyDescent="0.15">
      <c r="A8" s="3" t="s">
        <v>10</v>
      </c>
      <c r="B8" s="4" t="s">
        <v>11</v>
      </c>
    </row>
    <row r="9" spans="1:2" ht="25.5" x14ac:dyDescent="0.15">
      <c r="A9" s="3" t="s">
        <v>12</v>
      </c>
      <c r="B9" s="4" t="s">
        <v>13</v>
      </c>
    </row>
    <row r="10" spans="1:2" ht="63.75" x14ac:dyDescent="0.15">
      <c r="A10" s="3" t="s">
        <v>14</v>
      </c>
      <c r="B10" s="4" t="s">
        <v>15</v>
      </c>
    </row>
    <row r="12" spans="1:2" ht="15.75" x14ac:dyDescent="0.25">
      <c r="A12" s="1" t="s">
        <v>16</v>
      </c>
      <c r="B12" s="2"/>
    </row>
    <row r="13" spans="1:2" ht="25.5" x14ac:dyDescent="0.15">
      <c r="A13" s="3" t="s">
        <v>17</v>
      </c>
      <c r="B13" s="4" t="s">
        <v>18</v>
      </c>
    </row>
    <row r="14" spans="1:2" x14ac:dyDescent="0.15">
      <c r="A14" s="3" t="s">
        <v>19</v>
      </c>
      <c r="B14" s="4" t="s">
        <v>20</v>
      </c>
    </row>
    <row r="15" spans="1:2" x14ac:dyDescent="0.15">
      <c r="A15" s="3" t="s">
        <v>21</v>
      </c>
      <c r="B15" s="4" t="s">
        <v>22</v>
      </c>
    </row>
    <row r="16" spans="1:2" x14ac:dyDescent="0.15">
      <c r="A16" s="3" t="s">
        <v>23</v>
      </c>
      <c r="B16" s="4" t="s">
        <v>24</v>
      </c>
    </row>
    <row r="17" spans="1:2" x14ac:dyDescent="0.15">
      <c r="A17" s="3" t="s">
        <v>25</v>
      </c>
      <c r="B17" s="4" t="s">
        <v>26</v>
      </c>
    </row>
    <row r="18" spans="1:2" x14ac:dyDescent="0.15">
      <c r="A18" s="3" t="s">
        <v>27</v>
      </c>
      <c r="B18" s="4" t="s">
        <v>28</v>
      </c>
    </row>
    <row r="19" spans="1:2" x14ac:dyDescent="0.15">
      <c r="A19" s="3" t="s">
        <v>29</v>
      </c>
      <c r="B19" s="4" t="s">
        <v>30</v>
      </c>
    </row>
    <row r="20" spans="1:2" ht="25.5" x14ac:dyDescent="0.15">
      <c r="A20" s="3" t="s">
        <v>31</v>
      </c>
      <c r="B20" s="4" t="s">
        <v>32</v>
      </c>
    </row>
    <row r="22" spans="1:2" ht="15.75" x14ac:dyDescent="0.25">
      <c r="A22" s="1" t="s">
        <v>33</v>
      </c>
      <c r="B22" s="2"/>
    </row>
    <row r="23" spans="1:2" x14ac:dyDescent="0.15">
      <c r="A23" s="3" t="s">
        <v>34</v>
      </c>
      <c r="B23" s="4" t="s">
        <v>35</v>
      </c>
    </row>
    <row r="24" spans="1:2" x14ac:dyDescent="0.15">
      <c r="A24" s="3" t="s">
        <v>36</v>
      </c>
      <c r="B24" s="4" t="s">
        <v>37</v>
      </c>
    </row>
    <row r="25" spans="1:2" x14ac:dyDescent="0.15">
      <c r="A25" s="3" t="s">
        <v>38</v>
      </c>
      <c r="B25" s="4" t="s">
        <v>39</v>
      </c>
    </row>
    <row r="27" spans="1:2" ht="15.75" x14ac:dyDescent="0.25">
      <c r="A27" s="1" t="s">
        <v>40</v>
      </c>
      <c r="B27" s="2"/>
    </row>
    <row r="28" spans="1:2" ht="63.75" x14ac:dyDescent="0.15">
      <c r="A28" s="3" t="s">
        <v>41</v>
      </c>
      <c r="B28" s="37" t="s">
        <v>442</v>
      </c>
    </row>
    <row r="29" spans="1:2" x14ac:dyDescent="0.15">
      <c r="A29" s="3" t="s">
        <v>42</v>
      </c>
      <c r="B29" s="4" t="s">
        <v>43</v>
      </c>
    </row>
    <row r="30" spans="1:2" x14ac:dyDescent="0.15">
      <c r="A30" s="3" t="s">
        <v>44</v>
      </c>
      <c r="B30" s="4" t="s">
        <v>45</v>
      </c>
    </row>
    <row r="31" spans="1:2" ht="38.25" x14ac:dyDescent="0.15">
      <c r="A31" s="3" t="s">
        <v>46</v>
      </c>
      <c r="B31" s="4" t="s">
        <v>47</v>
      </c>
    </row>
    <row r="32" spans="1:2" ht="25.5" x14ac:dyDescent="0.15">
      <c r="A32" s="3" t="s">
        <v>48</v>
      </c>
      <c r="B32" s="4" t="s">
        <v>49</v>
      </c>
    </row>
    <row r="33" spans="1:2" ht="38.25" x14ac:dyDescent="0.15">
      <c r="A33" s="3" t="s">
        <v>50</v>
      </c>
      <c r="B33" s="4" t="s">
        <v>51</v>
      </c>
    </row>
    <row r="35" spans="1:2" ht="15.75" x14ac:dyDescent="0.25">
      <c r="A35" s="1" t="s">
        <v>52</v>
      </c>
      <c r="B35" s="2"/>
    </row>
    <row r="36" spans="1:2" ht="25.5" x14ac:dyDescent="0.15">
      <c r="A36" s="3" t="s">
        <v>53</v>
      </c>
      <c r="B36" s="4" t="s">
        <v>54</v>
      </c>
    </row>
    <row r="37" spans="1:2" x14ac:dyDescent="0.15">
      <c r="A37" s="3" t="s">
        <v>55</v>
      </c>
      <c r="B37" s="4" t="s">
        <v>56</v>
      </c>
    </row>
    <row r="38" spans="1:2" ht="25.5" x14ac:dyDescent="0.15">
      <c r="A38" s="3" t="s">
        <v>57</v>
      </c>
      <c r="B38" s="4" t="s">
        <v>58</v>
      </c>
    </row>
    <row r="39" spans="1:2" ht="25.5" x14ac:dyDescent="0.15">
      <c r="A39" s="3" t="s">
        <v>59</v>
      </c>
      <c r="B39" s="4" t="s">
        <v>60</v>
      </c>
    </row>
    <row r="40" spans="1:2" x14ac:dyDescent="0.15">
      <c r="A40" s="3" t="s">
        <v>61</v>
      </c>
      <c r="B40" s="4" t="s">
        <v>62</v>
      </c>
    </row>
    <row r="41" spans="1:2" ht="51" x14ac:dyDescent="0.15">
      <c r="A41" s="3" t="s">
        <v>63</v>
      </c>
      <c r="B41" s="4" t="s">
        <v>64</v>
      </c>
    </row>
    <row r="42" spans="1:2" ht="25.5" x14ac:dyDescent="0.15">
      <c r="A42" s="3" t="s">
        <v>65</v>
      </c>
      <c r="B42" s="4" t="s">
        <v>66</v>
      </c>
    </row>
    <row r="43" spans="1:2" x14ac:dyDescent="0.15">
      <c r="A43" s="3" t="s">
        <v>67</v>
      </c>
      <c r="B43" s="4" t="s">
        <v>68</v>
      </c>
    </row>
    <row r="44" spans="1:2" ht="25.5" x14ac:dyDescent="0.15">
      <c r="A44" s="3" t="s">
        <v>69</v>
      </c>
      <c r="B44" s="4" t="s">
        <v>70</v>
      </c>
    </row>
    <row r="45" spans="1:2" ht="25.5" x14ac:dyDescent="0.15">
      <c r="A45" s="3" t="s">
        <v>71</v>
      </c>
      <c r="B45" s="4" t="s">
        <v>72</v>
      </c>
    </row>
    <row r="46" spans="1:2" ht="38.25" x14ac:dyDescent="0.15">
      <c r="A46" s="3" t="s">
        <v>73</v>
      </c>
      <c r="B46" s="4" t="s">
        <v>74</v>
      </c>
    </row>
    <row r="48" spans="1:2" ht="15.75" x14ac:dyDescent="0.25">
      <c r="A48" s="1" t="s">
        <v>75</v>
      </c>
      <c r="B48" s="2"/>
    </row>
    <row r="49" spans="1:2" x14ac:dyDescent="0.15">
      <c r="A49" s="3" t="s">
        <v>76</v>
      </c>
      <c r="B49" s="4" t="s">
        <v>77</v>
      </c>
    </row>
    <row r="50" spans="1:2" ht="25.5" x14ac:dyDescent="0.15">
      <c r="A50" s="3" t="s">
        <v>78</v>
      </c>
      <c r="B50" s="4" t="s">
        <v>79</v>
      </c>
    </row>
    <row r="51" spans="1:2" ht="25.5" x14ac:dyDescent="0.15">
      <c r="A51" s="3" t="s">
        <v>80</v>
      </c>
      <c r="B51" s="4" t="s">
        <v>81</v>
      </c>
    </row>
    <row r="52" spans="1:2" x14ac:dyDescent="0.15">
      <c r="A52" s="3" t="s">
        <v>82</v>
      </c>
      <c r="B52" s="4" t="s">
        <v>83</v>
      </c>
    </row>
  </sheetData>
  <mergeCells count="1">
    <mergeCell ref="A1:B1"/>
  </mergeCells>
  <phoneticPr fontId="1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0"/>
  <sheetViews>
    <sheetView tabSelected="1" workbookViewId="0">
      <pane xSplit="3" ySplit="3" topLeftCell="H31" activePane="bottomRight" state="frozen"/>
      <selection pane="topRight"/>
      <selection pane="bottomLeft"/>
      <selection pane="bottomRight" activeCell="K51" sqref="K51"/>
    </sheetView>
  </sheetViews>
  <sheetFormatPr defaultRowHeight="13.5" x14ac:dyDescent="0.15"/>
  <cols>
    <col min="1" max="2" width="7" customWidth="1"/>
    <col min="3" max="3" width="30" customWidth="1"/>
    <col min="4" max="4" width="14" customWidth="1"/>
    <col min="5" max="5" width="11" customWidth="1"/>
    <col min="6" max="6" width="12" customWidth="1"/>
    <col min="7" max="7" width="13" customWidth="1"/>
    <col min="8" max="8" width="58" customWidth="1"/>
    <col min="9" max="9" width="52" customWidth="1"/>
    <col min="10" max="10" width="9" customWidth="1"/>
    <col min="11" max="11" width="11" customWidth="1"/>
    <col min="12" max="12" width="12" customWidth="1"/>
    <col min="13" max="13" width="11" customWidth="1"/>
    <col min="14" max="14" width="42" customWidth="1"/>
  </cols>
  <sheetData>
    <row r="1" spans="1:14" ht="18" customHeight="1" x14ac:dyDescent="0.25">
      <c r="A1" s="29" t="s">
        <v>0</v>
      </c>
      <c r="B1" s="26"/>
      <c r="C1" s="26"/>
      <c r="D1" s="26"/>
      <c r="E1" s="26"/>
      <c r="F1" s="26"/>
      <c r="G1" s="26"/>
      <c r="H1" s="26"/>
      <c r="I1" s="26"/>
      <c r="J1" s="26"/>
      <c r="K1" s="26"/>
      <c r="L1" s="26"/>
      <c r="M1" s="26"/>
      <c r="N1" s="26"/>
    </row>
    <row r="2" spans="1:14" ht="18" customHeight="1" x14ac:dyDescent="0.2">
      <c r="A2" s="28" t="s">
        <v>84</v>
      </c>
      <c r="B2" s="26"/>
      <c r="C2" s="26"/>
      <c r="D2" s="26"/>
      <c r="E2" s="26"/>
      <c r="F2" s="26"/>
      <c r="G2" s="26"/>
      <c r="H2" s="26"/>
      <c r="I2" s="26"/>
      <c r="J2" s="26"/>
      <c r="K2" s="26"/>
      <c r="L2" s="26"/>
      <c r="M2" s="26"/>
      <c r="N2" s="26"/>
    </row>
    <row r="3" spans="1:14" ht="27.95" customHeight="1" x14ac:dyDescent="0.15">
      <c r="A3" s="6" t="s">
        <v>85</v>
      </c>
      <c r="B3" s="6" t="s">
        <v>86</v>
      </c>
      <c r="C3" s="6" t="s">
        <v>87</v>
      </c>
      <c r="D3" s="6" t="s">
        <v>88</v>
      </c>
      <c r="E3" s="6" t="s">
        <v>89</v>
      </c>
      <c r="F3" s="6" t="s">
        <v>90</v>
      </c>
      <c r="G3" s="6" t="s">
        <v>91</v>
      </c>
      <c r="H3" s="6" t="s">
        <v>92</v>
      </c>
      <c r="I3" s="6" t="s">
        <v>93</v>
      </c>
      <c r="J3" s="6" t="s">
        <v>94</v>
      </c>
      <c r="K3" s="6" t="s">
        <v>95</v>
      </c>
      <c r="L3" s="6" t="s">
        <v>96</v>
      </c>
      <c r="M3" s="6" t="s">
        <v>97</v>
      </c>
      <c r="N3" s="6" t="s">
        <v>38</v>
      </c>
    </row>
    <row r="4" spans="1:14" ht="20.100000000000001" customHeight="1" x14ac:dyDescent="0.25">
      <c r="A4" s="27" t="s">
        <v>98</v>
      </c>
      <c r="B4" s="26"/>
      <c r="C4" s="26"/>
      <c r="D4" s="26"/>
      <c r="E4" s="26"/>
      <c r="F4" s="26"/>
      <c r="G4" s="26"/>
      <c r="H4" s="26"/>
      <c r="I4" s="26"/>
      <c r="J4" s="26"/>
      <c r="K4" s="26"/>
      <c r="L4" s="26"/>
      <c r="M4" s="26"/>
      <c r="N4" s="26"/>
    </row>
    <row r="5" spans="1:14" ht="38.25" x14ac:dyDescent="0.15">
      <c r="A5" s="7" t="s">
        <v>99</v>
      </c>
      <c r="B5" s="8" t="s">
        <v>100</v>
      </c>
      <c r="C5" s="8" t="s">
        <v>101</v>
      </c>
      <c r="D5" s="8" t="s">
        <v>102</v>
      </c>
      <c r="E5" s="8" t="s">
        <v>103</v>
      </c>
      <c r="F5" s="8" t="s">
        <v>104</v>
      </c>
      <c r="G5" s="8" t="s">
        <v>105</v>
      </c>
      <c r="H5" s="8" t="s">
        <v>106</v>
      </c>
      <c r="I5" s="8" t="s">
        <v>107</v>
      </c>
      <c r="J5" s="8"/>
      <c r="K5" s="9" t="s">
        <v>19</v>
      </c>
      <c r="L5" s="38" t="s">
        <v>443</v>
      </c>
      <c r="M5" s="10">
        <v>46317</v>
      </c>
      <c r="N5" s="9"/>
    </row>
    <row r="6" spans="1:14" ht="25.5" x14ac:dyDescent="0.15">
      <c r="A6" s="7" t="s">
        <v>108</v>
      </c>
      <c r="B6" s="8" t="s">
        <v>100</v>
      </c>
      <c r="C6" s="11" t="s">
        <v>101</v>
      </c>
      <c r="D6" s="11" t="s">
        <v>102</v>
      </c>
      <c r="E6" s="11" t="s">
        <v>103</v>
      </c>
      <c r="F6" s="11" t="s">
        <v>104</v>
      </c>
      <c r="G6" s="11" t="s">
        <v>105</v>
      </c>
      <c r="H6" s="8" t="s">
        <v>109</v>
      </c>
      <c r="I6" s="8" t="s">
        <v>110</v>
      </c>
      <c r="J6" s="8"/>
      <c r="K6" s="9" t="s">
        <v>19</v>
      </c>
      <c r="L6" s="38" t="s">
        <v>443</v>
      </c>
      <c r="M6" s="10">
        <v>46317</v>
      </c>
      <c r="N6" s="9"/>
    </row>
    <row r="7" spans="1:14" ht="25.5" x14ac:dyDescent="0.15">
      <c r="A7" s="7" t="s">
        <v>111</v>
      </c>
      <c r="B7" s="8" t="s">
        <v>100</v>
      </c>
      <c r="C7" s="11" t="s">
        <v>101</v>
      </c>
      <c r="D7" s="11" t="s">
        <v>102</v>
      </c>
      <c r="E7" s="11" t="s">
        <v>103</v>
      </c>
      <c r="F7" s="11" t="s">
        <v>104</v>
      </c>
      <c r="G7" s="11" t="s">
        <v>105</v>
      </c>
      <c r="H7" s="8" t="s">
        <v>112</v>
      </c>
      <c r="I7" s="8" t="s">
        <v>113</v>
      </c>
      <c r="J7" s="8"/>
      <c r="K7" s="9" t="s">
        <v>19</v>
      </c>
      <c r="L7" s="38" t="s">
        <v>443</v>
      </c>
      <c r="M7" s="10">
        <v>46317</v>
      </c>
      <c r="N7" s="9"/>
    </row>
    <row r="8" spans="1:14" ht="38.25" x14ac:dyDescent="0.15">
      <c r="A8" s="12" t="s">
        <v>114</v>
      </c>
      <c r="B8" s="13" t="s">
        <v>115</v>
      </c>
      <c r="C8" s="13" t="s">
        <v>116</v>
      </c>
      <c r="D8" s="13" t="s">
        <v>102</v>
      </c>
      <c r="E8" s="13" t="s">
        <v>103</v>
      </c>
      <c r="F8" s="13" t="s">
        <v>104</v>
      </c>
      <c r="G8" s="13" t="s">
        <v>105</v>
      </c>
      <c r="H8" s="13" t="s">
        <v>117</v>
      </c>
      <c r="I8" s="13" t="s">
        <v>118</v>
      </c>
      <c r="J8" s="13"/>
      <c r="K8" s="9" t="b">
        <v>0</v>
      </c>
      <c r="L8" s="38" t="s">
        <v>443</v>
      </c>
      <c r="M8" s="10">
        <v>46317</v>
      </c>
      <c r="N8" s="9"/>
    </row>
    <row r="9" spans="1:14" ht="25.5" x14ac:dyDescent="0.15">
      <c r="A9" s="12" t="s">
        <v>119</v>
      </c>
      <c r="B9" s="13" t="s">
        <v>115</v>
      </c>
      <c r="C9" s="14" t="s">
        <v>116</v>
      </c>
      <c r="D9" s="14" t="s">
        <v>102</v>
      </c>
      <c r="E9" s="14" t="s">
        <v>103</v>
      </c>
      <c r="F9" s="14" t="s">
        <v>104</v>
      </c>
      <c r="G9" s="14" t="s">
        <v>105</v>
      </c>
      <c r="H9" s="13" t="s">
        <v>120</v>
      </c>
      <c r="I9" s="13" t="s">
        <v>121</v>
      </c>
      <c r="J9" s="13"/>
      <c r="K9" s="9" t="s">
        <v>19</v>
      </c>
      <c r="L9" s="38" t="s">
        <v>443</v>
      </c>
      <c r="M9" s="10">
        <v>46317</v>
      </c>
      <c r="N9" s="9"/>
    </row>
    <row r="10" spans="1:14" ht="38.25" x14ac:dyDescent="0.15">
      <c r="A10" s="12" t="s">
        <v>122</v>
      </c>
      <c r="B10" s="13" t="s">
        <v>115</v>
      </c>
      <c r="C10" s="14" t="s">
        <v>116</v>
      </c>
      <c r="D10" s="14" t="s">
        <v>102</v>
      </c>
      <c r="E10" s="14" t="s">
        <v>103</v>
      </c>
      <c r="F10" s="14" t="s">
        <v>104</v>
      </c>
      <c r="G10" s="14" t="s">
        <v>105</v>
      </c>
      <c r="H10" s="13" t="s">
        <v>123</v>
      </c>
      <c r="I10" s="13" t="s">
        <v>124</v>
      </c>
      <c r="J10" s="13"/>
      <c r="K10" s="9" t="s">
        <v>19</v>
      </c>
      <c r="L10" s="38" t="s">
        <v>443</v>
      </c>
      <c r="M10" s="10">
        <v>46317</v>
      </c>
      <c r="N10" s="9"/>
    </row>
    <row r="11" spans="1:14" ht="25.5" x14ac:dyDescent="0.15">
      <c r="A11" s="12" t="s">
        <v>125</v>
      </c>
      <c r="B11" s="13" t="s">
        <v>115</v>
      </c>
      <c r="C11" s="14" t="s">
        <v>116</v>
      </c>
      <c r="D11" s="14" t="s">
        <v>102</v>
      </c>
      <c r="E11" s="14" t="s">
        <v>103</v>
      </c>
      <c r="F11" s="14" t="s">
        <v>104</v>
      </c>
      <c r="G11" s="14" t="s">
        <v>105</v>
      </c>
      <c r="H11" s="13" t="s">
        <v>126</v>
      </c>
      <c r="I11" s="13" t="s">
        <v>127</v>
      </c>
      <c r="J11" s="13"/>
      <c r="K11" s="9" t="s">
        <v>19</v>
      </c>
      <c r="L11" s="38" t="s">
        <v>443</v>
      </c>
      <c r="M11" s="10">
        <v>46317</v>
      </c>
      <c r="N11" s="9"/>
    </row>
    <row r="12" spans="1:14" ht="38.25" x14ac:dyDescent="0.15">
      <c r="A12" s="7" t="s">
        <v>128</v>
      </c>
      <c r="B12" s="8" t="s">
        <v>129</v>
      </c>
      <c r="C12" s="8" t="s">
        <v>130</v>
      </c>
      <c r="D12" s="8" t="s">
        <v>131</v>
      </c>
      <c r="E12" s="8" t="s">
        <v>103</v>
      </c>
      <c r="F12" s="8" t="s">
        <v>104</v>
      </c>
      <c r="G12" s="8" t="s">
        <v>105</v>
      </c>
      <c r="H12" s="8" t="s">
        <v>132</v>
      </c>
      <c r="I12" s="8" t="s">
        <v>133</v>
      </c>
      <c r="J12" s="8"/>
      <c r="K12" s="9" t="s">
        <v>19</v>
      </c>
      <c r="L12" s="38" t="s">
        <v>443</v>
      </c>
      <c r="M12" s="10">
        <v>46317</v>
      </c>
      <c r="N12" s="38" t="s">
        <v>450</v>
      </c>
    </row>
    <row r="13" spans="1:14" ht="38.25" x14ac:dyDescent="0.15">
      <c r="A13" s="7" t="s">
        <v>134</v>
      </c>
      <c r="B13" s="8" t="s">
        <v>129</v>
      </c>
      <c r="C13" s="11" t="s">
        <v>130</v>
      </c>
      <c r="D13" s="11" t="s">
        <v>131</v>
      </c>
      <c r="E13" s="11" t="s">
        <v>103</v>
      </c>
      <c r="F13" s="11" t="s">
        <v>104</v>
      </c>
      <c r="G13" s="11" t="s">
        <v>105</v>
      </c>
      <c r="H13" s="8" t="s">
        <v>135</v>
      </c>
      <c r="I13" s="8" t="s">
        <v>136</v>
      </c>
      <c r="J13" s="8"/>
      <c r="K13" s="9" t="s">
        <v>19</v>
      </c>
      <c r="L13" s="38" t="s">
        <v>443</v>
      </c>
      <c r="M13" s="10">
        <v>46317</v>
      </c>
      <c r="N13" s="9"/>
    </row>
    <row r="14" spans="1:14" ht="25.5" x14ac:dyDescent="0.15">
      <c r="A14" s="12" t="s">
        <v>137</v>
      </c>
      <c r="B14" s="13" t="s">
        <v>138</v>
      </c>
      <c r="C14" s="13" t="s">
        <v>139</v>
      </c>
      <c r="D14" s="13" t="s">
        <v>140</v>
      </c>
      <c r="E14" s="13" t="s">
        <v>103</v>
      </c>
      <c r="F14" s="13" t="s">
        <v>104</v>
      </c>
      <c r="G14" s="13" t="s">
        <v>141</v>
      </c>
      <c r="H14" s="13" t="s">
        <v>142</v>
      </c>
      <c r="I14" s="13" t="s">
        <v>143</v>
      </c>
      <c r="J14" s="13"/>
      <c r="K14" s="9" t="s">
        <v>19</v>
      </c>
      <c r="L14" s="38" t="s">
        <v>443</v>
      </c>
      <c r="M14" s="10">
        <v>46317</v>
      </c>
      <c r="N14" s="9"/>
    </row>
    <row r="15" spans="1:14" ht="38.25" x14ac:dyDescent="0.15">
      <c r="A15" s="12" t="s">
        <v>144</v>
      </c>
      <c r="B15" s="13" t="s">
        <v>138</v>
      </c>
      <c r="C15" s="14" t="s">
        <v>139</v>
      </c>
      <c r="D15" s="14" t="s">
        <v>140</v>
      </c>
      <c r="E15" s="14" t="s">
        <v>103</v>
      </c>
      <c r="F15" s="14" t="s">
        <v>104</v>
      </c>
      <c r="G15" s="14" t="s">
        <v>141</v>
      </c>
      <c r="H15" s="13" t="s">
        <v>145</v>
      </c>
      <c r="I15" s="13" t="s">
        <v>146</v>
      </c>
      <c r="J15" s="13" t="s">
        <v>147</v>
      </c>
      <c r="K15" s="9" t="s">
        <v>19</v>
      </c>
      <c r="L15" s="38" t="s">
        <v>443</v>
      </c>
      <c r="M15" s="10">
        <v>46317</v>
      </c>
      <c r="N15" s="9"/>
    </row>
    <row r="16" spans="1:14" ht="25.5" x14ac:dyDescent="0.15">
      <c r="A16" s="7" t="s">
        <v>148</v>
      </c>
      <c r="B16" s="8" t="s">
        <v>149</v>
      </c>
      <c r="C16" s="8" t="s">
        <v>150</v>
      </c>
      <c r="D16" s="8" t="s">
        <v>151</v>
      </c>
      <c r="E16" s="8" t="s">
        <v>103</v>
      </c>
      <c r="F16" s="8" t="s">
        <v>152</v>
      </c>
      <c r="G16" s="8" t="s">
        <v>105</v>
      </c>
      <c r="H16" s="8" t="s">
        <v>153</v>
      </c>
      <c r="I16" s="8" t="s">
        <v>154</v>
      </c>
      <c r="J16" s="8"/>
      <c r="K16" s="9" t="s">
        <v>19</v>
      </c>
      <c r="L16" s="38" t="s">
        <v>443</v>
      </c>
      <c r="M16" s="10">
        <v>46317</v>
      </c>
      <c r="N16" s="38" t="s">
        <v>451</v>
      </c>
    </row>
    <row r="17" spans="1:14" ht="38.25" x14ac:dyDescent="0.15">
      <c r="A17" s="12" t="s">
        <v>155</v>
      </c>
      <c r="B17" s="13" t="s">
        <v>156</v>
      </c>
      <c r="C17" s="13" t="s">
        <v>157</v>
      </c>
      <c r="D17" s="13" t="s">
        <v>158</v>
      </c>
      <c r="E17" s="13" t="s">
        <v>103</v>
      </c>
      <c r="F17" s="13" t="s">
        <v>159</v>
      </c>
      <c r="G17" s="13" t="s">
        <v>160</v>
      </c>
      <c r="H17" s="13" t="s">
        <v>161</v>
      </c>
      <c r="I17" s="13" t="s">
        <v>162</v>
      </c>
      <c r="J17" s="13"/>
      <c r="K17" s="9" t="s">
        <v>19</v>
      </c>
      <c r="L17" s="38" t="s">
        <v>443</v>
      </c>
      <c r="M17" s="10">
        <v>46317</v>
      </c>
      <c r="N17" s="9"/>
    </row>
    <row r="18" spans="1:14" ht="25.5" x14ac:dyDescent="0.15">
      <c r="A18" s="12" t="s">
        <v>163</v>
      </c>
      <c r="B18" s="13" t="s">
        <v>156</v>
      </c>
      <c r="C18" s="14" t="s">
        <v>157</v>
      </c>
      <c r="D18" s="14" t="s">
        <v>158</v>
      </c>
      <c r="E18" s="14" t="s">
        <v>103</v>
      </c>
      <c r="F18" s="14" t="s">
        <v>159</v>
      </c>
      <c r="G18" s="14" t="s">
        <v>160</v>
      </c>
      <c r="H18" s="13"/>
      <c r="I18" s="13" t="s">
        <v>164</v>
      </c>
      <c r="J18" s="13"/>
      <c r="K18" s="9" t="s">
        <v>19</v>
      </c>
      <c r="L18" s="38" t="s">
        <v>443</v>
      </c>
      <c r="M18" s="10">
        <v>46317</v>
      </c>
      <c r="N18" s="9"/>
    </row>
    <row r="19" spans="1:14" ht="38.25" x14ac:dyDescent="0.15">
      <c r="A19" s="7" t="s">
        <v>165</v>
      </c>
      <c r="B19" s="8" t="s">
        <v>166</v>
      </c>
      <c r="C19" s="8" t="s">
        <v>167</v>
      </c>
      <c r="D19" s="8" t="s">
        <v>168</v>
      </c>
      <c r="E19" s="8" t="s">
        <v>103</v>
      </c>
      <c r="F19" s="8" t="s">
        <v>159</v>
      </c>
      <c r="G19" s="8" t="s">
        <v>169</v>
      </c>
      <c r="H19" s="8" t="s">
        <v>170</v>
      </c>
      <c r="I19" s="8" t="s">
        <v>171</v>
      </c>
      <c r="J19" s="8"/>
      <c r="K19" s="9" t="s">
        <v>19</v>
      </c>
      <c r="L19" s="38" t="s">
        <v>443</v>
      </c>
      <c r="M19" s="10">
        <v>46317</v>
      </c>
      <c r="N19" s="9"/>
    </row>
    <row r="20" spans="1:14" ht="38.25" x14ac:dyDescent="0.15">
      <c r="A20" s="12" t="s">
        <v>172</v>
      </c>
      <c r="B20" s="13" t="s">
        <v>173</v>
      </c>
      <c r="C20" s="13" t="s">
        <v>174</v>
      </c>
      <c r="D20" s="13" t="s">
        <v>175</v>
      </c>
      <c r="E20" s="13" t="s">
        <v>176</v>
      </c>
      <c r="F20" s="13" t="s">
        <v>159</v>
      </c>
      <c r="G20" s="13" t="s">
        <v>160</v>
      </c>
      <c r="H20" s="13" t="s">
        <v>177</v>
      </c>
      <c r="I20" s="13" t="s">
        <v>178</v>
      </c>
      <c r="J20" s="13" t="s">
        <v>147</v>
      </c>
      <c r="K20" s="9" t="s">
        <v>19</v>
      </c>
      <c r="L20" s="38" t="s">
        <v>443</v>
      </c>
      <c r="M20" s="10">
        <v>46317</v>
      </c>
      <c r="N20" s="38" t="s">
        <v>444</v>
      </c>
    </row>
    <row r="21" spans="1:14" ht="38.25" x14ac:dyDescent="0.15">
      <c r="A21" s="12" t="s">
        <v>179</v>
      </c>
      <c r="B21" s="13" t="s">
        <v>173</v>
      </c>
      <c r="C21" s="14" t="s">
        <v>174</v>
      </c>
      <c r="D21" s="14" t="s">
        <v>175</v>
      </c>
      <c r="E21" s="14" t="s">
        <v>176</v>
      </c>
      <c r="F21" s="14" t="s">
        <v>159</v>
      </c>
      <c r="G21" s="14" t="s">
        <v>160</v>
      </c>
      <c r="H21" s="13" t="s">
        <v>180</v>
      </c>
      <c r="I21" s="13" t="s">
        <v>181</v>
      </c>
      <c r="J21" s="13" t="s">
        <v>147</v>
      </c>
      <c r="K21" s="9" t="s">
        <v>19</v>
      </c>
      <c r="L21" s="38" t="s">
        <v>443</v>
      </c>
      <c r="M21" s="10">
        <v>46317</v>
      </c>
      <c r="N21" s="38" t="s">
        <v>445</v>
      </c>
    </row>
    <row r="22" spans="1:14" ht="20.100000000000001" customHeight="1" x14ac:dyDescent="0.25">
      <c r="A22" s="27" t="s">
        <v>182</v>
      </c>
      <c r="B22" s="26"/>
      <c r="C22" s="26"/>
      <c r="D22" s="26"/>
      <c r="E22" s="26"/>
      <c r="F22" s="26"/>
      <c r="G22" s="26"/>
      <c r="H22" s="26"/>
      <c r="I22" s="26"/>
      <c r="J22" s="26"/>
      <c r="K22" s="26"/>
      <c r="L22" s="26"/>
      <c r="M22" s="26"/>
      <c r="N22" s="26"/>
    </row>
    <row r="23" spans="1:14" ht="51" x14ac:dyDescent="0.15">
      <c r="A23" s="7" t="s">
        <v>183</v>
      </c>
      <c r="B23" s="8" t="s">
        <v>184</v>
      </c>
      <c r="C23" s="8" t="s">
        <v>185</v>
      </c>
      <c r="D23" s="8" t="s">
        <v>186</v>
      </c>
      <c r="E23" s="8" t="s">
        <v>176</v>
      </c>
      <c r="F23" s="8" t="s">
        <v>187</v>
      </c>
      <c r="G23" s="8" t="s">
        <v>188</v>
      </c>
      <c r="H23" s="8" t="s">
        <v>189</v>
      </c>
      <c r="I23" s="8" t="s">
        <v>190</v>
      </c>
      <c r="J23" s="8"/>
      <c r="K23" s="9" t="s">
        <v>19</v>
      </c>
      <c r="L23" s="38" t="s">
        <v>443</v>
      </c>
      <c r="M23" s="10">
        <v>46317</v>
      </c>
      <c r="N23" s="9"/>
    </row>
    <row r="24" spans="1:14" ht="38.25" x14ac:dyDescent="0.15">
      <c r="A24" s="7" t="s">
        <v>191</v>
      </c>
      <c r="B24" s="8" t="s">
        <v>184</v>
      </c>
      <c r="C24" s="11" t="s">
        <v>185</v>
      </c>
      <c r="D24" s="11" t="s">
        <v>186</v>
      </c>
      <c r="E24" s="11" t="s">
        <v>176</v>
      </c>
      <c r="F24" s="11" t="s">
        <v>187</v>
      </c>
      <c r="G24" s="11" t="s">
        <v>188</v>
      </c>
      <c r="H24" s="8" t="s">
        <v>192</v>
      </c>
      <c r="I24" s="8" t="s">
        <v>193</v>
      </c>
      <c r="J24" s="8"/>
      <c r="K24" s="9" t="s">
        <v>19</v>
      </c>
      <c r="L24" s="38" t="s">
        <v>443</v>
      </c>
      <c r="M24" s="10">
        <v>46317</v>
      </c>
      <c r="N24" s="9"/>
    </row>
    <row r="25" spans="1:14" ht="38.25" x14ac:dyDescent="0.15">
      <c r="A25" s="12" t="s">
        <v>194</v>
      </c>
      <c r="B25" s="13" t="s">
        <v>195</v>
      </c>
      <c r="C25" s="13" t="s">
        <v>196</v>
      </c>
      <c r="D25" s="13" t="s">
        <v>197</v>
      </c>
      <c r="E25" s="13" t="s">
        <v>176</v>
      </c>
      <c r="F25" s="13" t="s">
        <v>187</v>
      </c>
      <c r="G25" s="13" t="s">
        <v>198</v>
      </c>
      <c r="H25" s="13" t="s">
        <v>199</v>
      </c>
      <c r="I25" s="13" t="s">
        <v>200</v>
      </c>
      <c r="J25" s="13"/>
      <c r="K25" s="9" t="s">
        <v>19</v>
      </c>
      <c r="L25" s="38" t="s">
        <v>443</v>
      </c>
      <c r="M25" s="10">
        <v>46317</v>
      </c>
      <c r="N25" s="9"/>
    </row>
    <row r="26" spans="1:14" ht="25.5" x14ac:dyDescent="0.15">
      <c r="A26" s="12" t="s">
        <v>201</v>
      </c>
      <c r="B26" s="13" t="s">
        <v>195</v>
      </c>
      <c r="C26" s="14" t="s">
        <v>196</v>
      </c>
      <c r="D26" s="14" t="s">
        <v>197</v>
      </c>
      <c r="E26" s="14" t="s">
        <v>176</v>
      </c>
      <c r="F26" s="14" t="s">
        <v>187</v>
      </c>
      <c r="G26" s="14" t="s">
        <v>198</v>
      </c>
      <c r="H26" s="13" t="s">
        <v>202</v>
      </c>
      <c r="I26" s="13" t="s">
        <v>203</v>
      </c>
      <c r="J26" s="13"/>
      <c r="K26" s="9" t="s">
        <v>19</v>
      </c>
      <c r="L26" s="38" t="s">
        <v>443</v>
      </c>
      <c r="M26" s="10">
        <v>46317</v>
      </c>
      <c r="N26" s="9"/>
    </row>
    <row r="27" spans="1:14" ht="38.25" x14ac:dyDescent="0.15">
      <c r="A27" s="12" t="s">
        <v>204</v>
      </c>
      <c r="B27" s="13" t="s">
        <v>195</v>
      </c>
      <c r="C27" s="14" t="s">
        <v>196</v>
      </c>
      <c r="D27" s="14" t="s">
        <v>197</v>
      </c>
      <c r="E27" s="14" t="s">
        <v>176</v>
      </c>
      <c r="F27" s="14" t="s">
        <v>187</v>
      </c>
      <c r="G27" s="14" t="s">
        <v>198</v>
      </c>
      <c r="H27" s="13" t="s">
        <v>205</v>
      </c>
      <c r="I27" s="13" t="s">
        <v>206</v>
      </c>
      <c r="J27" s="13"/>
      <c r="K27" s="9" t="s">
        <v>19</v>
      </c>
      <c r="L27" s="38" t="s">
        <v>443</v>
      </c>
      <c r="M27" s="10">
        <v>46317</v>
      </c>
      <c r="N27" s="9"/>
    </row>
    <row r="28" spans="1:14" ht="38.25" x14ac:dyDescent="0.15">
      <c r="A28" s="12" t="s">
        <v>207</v>
      </c>
      <c r="B28" s="13" t="s">
        <v>195</v>
      </c>
      <c r="C28" s="14" t="s">
        <v>196</v>
      </c>
      <c r="D28" s="14" t="s">
        <v>197</v>
      </c>
      <c r="E28" s="14" t="s">
        <v>176</v>
      </c>
      <c r="F28" s="14" t="s">
        <v>187</v>
      </c>
      <c r="G28" s="14" t="s">
        <v>198</v>
      </c>
      <c r="H28" s="13" t="s">
        <v>208</v>
      </c>
      <c r="I28" s="13" t="s">
        <v>209</v>
      </c>
      <c r="J28" s="13"/>
      <c r="K28" s="9" t="s">
        <v>19</v>
      </c>
      <c r="L28" s="38" t="s">
        <v>443</v>
      </c>
      <c r="M28" s="10">
        <v>46317</v>
      </c>
      <c r="N28" s="9"/>
    </row>
    <row r="29" spans="1:14" ht="25.5" x14ac:dyDescent="0.15">
      <c r="A29" s="12" t="s">
        <v>210</v>
      </c>
      <c r="B29" s="13" t="s">
        <v>195</v>
      </c>
      <c r="C29" s="14" t="s">
        <v>196</v>
      </c>
      <c r="D29" s="14" t="s">
        <v>197</v>
      </c>
      <c r="E29" s="14" t="s">
        <v>176</v>
      </c>
      <c r="F29" s="14" t="s">
        <v>187</v>
      </c>
      <c r="G29" s="14" t="s">
        <v>198</v>
      </c>
      <c r="H29" s="13" t="s">
        <v>211</v>
      </c>
      <c r="I29" s="13" t="s">
        <v>212</v>
      </c>
      <c r="J29" s="13"/>
      <c r="K29" s="9" t="s">
        <v>19</v>
      </c>
      <c r="L29" s="38" t="s">
        <v>443</v>
      </c>
      <c r="M29" s="10">
        <v>46317</v>
      </c>
      <c r="N29" s="9"/>
    </row>
    <row r="30" spans="1:14" ht="25.5" x14ac:dyDescent="0.15">
      <c r="A30" s="7" t="s">
        <v>213</v>
      </c>
      <c r="B30" s="8" t="s">
        <v>214</v>
      </c>
      <c r="C30" s="8" t="s">
        <v>215</v>
      </c>
      <c r="D30" s="8" t="s">
        <v>176</v>
      </c>
      <c r="E30" s="8" t="s">
        <v>176</v>
      </c>
      <c r="F30" s="8" t="s">
        <v>187</v>
      </c>
      <c r="G30" s="8" t="s">
        <v>216</v>
      </c>
      <c r="H30" s="8" t="s">
        <v>217</v>
      </c>
      <c r="I30" s="8" t="s">
        <v>218</v>
      </c>
      <c r="J30" s="8"/>
      <c r="K30" s="9" t="s">
        <v>19</v>
      </c>
      <c r="L30" s="38" t="s">
        <v>443</v>
      </c>
      <c r="M30" s="10">
        <v>46317</v>
      </c>
      <c r="N30" s="9"/>
    </row>
    <row r="31" spans="1:14" ht="38.25" x14ac:dyDescent="0.15">
      <c r="A31" s="12" t="s">
        <v>219</v>
      </c>
      <c r="B31" s="13" t="s">
        <v>220</v>
      </c>
      <c r="C31" s="13" t="s">
        <v>221</v>
      </c>
      <c r="D31" s="13" t="s">
        <v>222</v>
      </c>
      <c r="E31" s="13" t="s">
        <v>176</v>
      </c>
      <c r="F31" s="13" t="s">
        <v>187</v>
      </c>
      <c r="G31" s="13" t="s">
        <v>223</v>
      </c>
      <c r="H31" s="13" t="s">
        <v>224</v>
      </c>
      <c r="I31" s="13" t="s">
        <v>225</v>
      </c>
      <c r="J31" s="13"/>
      <c r="K31" s="9" t="s">
        <v>19</v>
      </c>
      <c r="L31" s="38" t="s">
        <v>443</v>
      </c>
      <c r="M31" s="10">
        <v>46317</v>
      </c>
      <c r="N31" s="9"/>
    </row>
    <row r="32" spans="1:14" ht="38.25" x14ac:dyDescent="0.15">
      <c r="A32" s="12" t="s">
        <v>226</v>
      </c>
      <c r="B32" s="13" t="s">
        <v>220</v>
      </c>
      <c r="C32" s="14" t="s">
        <v>221</v>
      </c>
      <c r="D32" s="14" t="s">
        <v>222</v>
      </c>
      <c r="E32" s="14" t="s">
        <v>176</v>
      </c>
      <c r="F32" s="14" t="s">
        <v>187</v>
      </c>
      <c r="G32" s="14" t="s">
        <v>223</v>
      </c>
      <c r="H32" s="13" t="s">
        <v>227</v>
      </c>
      <c r="I32" s="13" t="s">
        <v>228</v>
      </c>
      <c r="J32" s="13"/>
      <c r="K32" s="9" t="s">
        <v>19</v>
      </c>
      <c r="L32" s="38" t="s">
        <v>443</v>
      </c>
      <c r="M32" s="10">
        <v>46317</v>
      </c>
      <c r="N32" s="9"/>
    </row>
    <row r="33" spans="1:14" ht="25.5" x14ac:dyDescent="0.15">
      <c r="A33" s="7" t="s">
        <v>229</v>
      </c>
      <c r="B33" s="8" t="s">
        <v>230</v>
      </c>
      <c r="C33" s="8" t="s">
        <v>231</v>
      </c>
      <c r="D33" s="8" t="s">
        <v>176</v>
      </c>
      <c r="E33" s="8" t="s">
        <v>176</v>
      </c>
      <c r="F33" s="8" t="s">
        <v>159</v>
      </c>
      <c r="G33" s="8" t="s">
        <v>232</v>
      </c>
      <c r="H33" s="8" t="s">
        <v>233</v>
      </c>
      <c r="I33" s="8" t="s">
        <v>234</v>
      </c>
      <c r="J33" s="8"/>
      <c r="K33" s="9" t="s">
        <v>19</v>
      </c>
      <c r="L33" s="38" t="s">
        <v>443</v>
      </c>
      <c r="M33" s="10">
        <v>46317</v>
      </c>
      <c r="N33" s="9"/>
    </row>
    <row r="34" spans="1:14" ht="38.25" x14ac:dyDescent="0.15">
      <c r="A34" s="12" t="s">
        <v>235</v>
      </c>
      <c r="B34" s="13" t="s">
        <v>236</v>
      </c>
      <c r="C34" s="13" t="s">
        <v>237</v>
      </c>
      <c r="D34" s="13" t="s">
        <v>238</v>
      </c>
      <c r="E34" s="13" t="s">
        <v>176</v>
      </c>
      <c r="F34" s="13" t="s">
        <v>187</v>
      </c>
      <c r="G34" s="13" t="s">
        <v>239</v>
      </c>
      <c r="H34" s="13" t="s">
        <v>240</v>
      </c>
      <c r="I34" s="13" t="s">
        <v>241</v>
      </c>
      <c r="J34" s="13"/>
      <c r="K34" s="9" t="s">
        <v>19</v>
      </c>
      <c r="L34" s="38" t="s">
        <v>443</v>
      </c>
      <c r="M34" s="10">
        <v>46317</v>
      </c>
      <c r="N34" s="38" t="s">
        <v>446</v>
      </c>
    </row>
    <row r="35" spans="1:14" ht="20.100000000000001" customHeight="1" x14ac:dyDescent="0.25">
      <c r="A35" s="27" t="s">
        <v>242</v>
      </c>
      <c r="B35" s="26"/>
      <c r="C35" s="26"/>
      <c r="D35" s="26"/>
      <c r="E35" s="26"/>
      <c r="F35" s="26"/>
      <c r="G35" s="26"/>
      <c r="H35" s="26"/>
      <c r="I35" s="26"/>
      <c r="J35" s="26"/>
      <c r="K35" s="26"/>
      <c r="L35" s="26"/>
      <c r="M35" s="26"/>
      <c r="N35" s="26"/>
    </row>
    <row r="36" spans="1:14" ht="38.25" x14ac:dyDescent="0.15">
      <c r="A36" s="7" t="s">
        <v>243</v>
      </c>
      <c r="B36" s="8" t="s">
        <v>244</v>
      </c>
      <c r="C36" s="8" t="s">
        <v>245</v>
      </c>
      <c r="D36" s="8" t="s">
        <v>169</v>
      </c>
      <c r="E36" s="8" t="s">
        <v>246</v>
      </c>
      <c r="F36" s="8" t="s">
        <v>247</v>
      </c>
      <c r="G36" s="8" t="s">
        <v>169</v>
      </c>
      <c r="H36" s="8" t="s">
        <v>248</v>
      </c>
      <c r="I36" s="8" t="s">
        <v>249</v>
      </c>
      <c r="J36" s="8"/>
      <c r="K36" s="9" t="s">
        <v>19</v>
      </c>
      <c r="L36" s="38" t="s">
        <v>443</v>
      </c>
      <c r="M36" s="10">
        <v>46317</v>
      </c>
      <c r="N36" s="9"/>
    </row>
    <row r="37" spans="1:14" ht="51" x14ac:dyDescent="0.15">
      <c r="A37" s="12" t="s">
        <v>250</v>
      </c>
      <c r="B37" s="13" t="s">
        <v>251</v>
      </c>
      <c r="C37" s="13" t="s">
        <v>252</v>
      </c>
      <c r="D37" s="13" t="s">
        <v>253</v>
      </c>
      <c r="E37" s="13" t="s">
        <v>246</v>
      </c>
      <c r="F37" s="13" t="s">
        <v>247</v>
      </c>
      <c r="G37" s="13" t="s">
        <v>254</v>
      </c>
      <c r="H37" s="13" t="s">
        <v>255</v>
      </c>
      <c r="I37" s="13" t="s">
        <v>256</v>
      </c>
      <c r="J37" s="13"/>
      <c r="K37" s="9" t="s">
        <v>19</v>
      </c>
      <c r="L37" s="38" t="s">
        <v>443</v>
      </c>
      <c r="M37" s="10">
        <v>46317</v>
      </c>
      <c r="N37" s="9"/>
    </row>
    <row r="38" spans="1:14" ht="25.5" x14ac:dyDescent="0.15">
      <c r="A38" s="12" t="s">
        <v>257</v>
      </c>
      <c r="B38" s="13" t="s">
        <v>251</v>
      </c>
      <c r="C38" s="14" t="s">
        <v>252</v>
      </c>
      <c r="D38" s="14" t="s">
        <v>253</v>
      </c>
      <c r="E38" s="14" t="s">
        <v>246</v>
      </c>
      <c r="F38" s="14" t="s">
        <v>247</v>
      </c>
      <c r="G38" s="14" t="s">
        <v>254</v>
      </c>
      <c r="H38" s="13" t="s">
        <v>258</v>
      </c>
      <c r="I38" s="13" t="s">
        <v>259</v>
      </c>
      <c r="J38" s="13"/>
      <c r="K38" s="9" t="s">
        <v>19</v>
      </c>
      <c r="L38" s="38" t="s">
        <v>443</v>
      </c>
      <c r="M38" s="10">
        <v>46317</v>
      </c>
      <c r="N38" s="9"/>
    </row>
    <row r="39" spans="1:14" ht="25.5" x14ac:dyDescent="0.15">
      <c r="A39" s="12" t="s">
        <v>260</v>
      </c>
      <c r="B39" s="13" t="s">
        <v>251</v>
      </c>
      <c r="C39" s="14" t="s">
        <v>252</v>
      </c>
      <c r="D39" s="14" t="s">
        <v>253</v>
      </c>
      <c r="E39" s="14" t="s">
        <v>246</v>
      </c>
      <c r="F39" s="14" t="s">
        <v>247</v>
      </c>
      <c r="G39" s="14" t="s">
        <v>254</v>
      </c>
      <c r="H39" s="13" t="s">
        <v>261</v>
      </c>
      <c r="I39" s="13" t="s">
        <v>262</v>
      </c>
      <c r="J39" s="13"/>
      <c r="K39" s="9" t="s">
        <v>19</v>
      </c>
      <c r="L39" s="38" t="s">
        <v>443</v>
      </c>
      <c r="M39" s="10">
        <v>46317</v>
      </c>
      <c r="N39" s="9"/>
    </row>
    <row r="40" spans="1:14" ht="25.5" x14ac:dyDescent="0.15">
      <c r="A40" s="7" t="s">
        <v>263</v>
      </c>
      <c r="B40" s="8" t="s">
        <v>264</v>
      </c>
      <c r="C40" s="8" t="s">
        <v>265</v>
      </c>
      <c r="D40" s="8" t="s">
        <v>266</v>
      </c>
      <c r="E40" s="8" t="s">
        <v>266</v>
      </c>
      <c r="F40" s="8" t="s">
        <v>247</v>
      </c>
      <c r="G40" s="8" t="s">
        <v>267</v>
      </c>
      <c r="H40" s="8" t="s">
        <v>268</v>
      </c>
      <c r="I40" s="8" t="s">
        <v>269</v>
      </c>
      <c r="J40" s="8"/>
      <c r="K40" s="9" t="s">
        <v>19</v>
      </c>
      <c r="L40" s="38" t="s">
        <v>443</v>
      </c>
      <c r="M40" s="10">
        <v>46317</v>
      </c>
      <c r="N40" s="9"/>
    </row>
    <row r="41" spans="1:14" ht="25.5" x14ac:dyDescent="0.15">
      <c r="A41" s="7" t="s">
        <v>270</v>
      </c>
      <c r="B41" s="8" t="s">
        <v>264</v>
      </c>
      <c r="C41" s="11" t="s">
        <v>265</v>
      </c>
      <c r="D41" s="11" t="s">
        <v>266</v>
      </c>
      <c r="E41" s="11" t="s">
        <v>266</v>
      </c>
      <c r="F41" s="11" t="s">
        <v>247</v>
      </c>
      <c r="G41" s="11" t="s">
        <v>267</v>
      </c>
      <c r="H41" s="8" t="s">
        <v>271</v>
      </c>
      <c r="I41" s="8" t="s">
        <v>272</v>
      </c>
      <c r="J41" s="8"/>
      <c r="K41" s="9" t="s">
        <v>19</v>
      </c>
      <c r="L41" s="38" t="s">
        <v>443</v>
      </c>
      <c r="M41" s="10">
        <v>46317</v>
      </c>
      <c r="N41" s="9"/>
    </row>
    <row r="42" spans="1:14" ht="25.5" x14ac:dyDescent="0.15">
      <c r="A42" s="12" t="s">
        <v>273</v>
      </c>
      <c r="B42" s="13" t="s">
        <v>274</v>
      </c>
      <c r="C42" s="13" t="s">
        <v>275</v>
      </c>
      <c r="D42" s="13" t="s">
        <v>266</v>
      </c>
      <c r="E42" s="13" t="s">
        <v>266</v>
      </c>
      <c r="F42" s="13" t="s">
        <v>247</v>
      </c>
      <c r="G42" s="13" t="s">
        <v>169</v>
      </c>
      <c r="H42" s="13" t="s">
        <v>276</v>
      </c>
      <c r="I42" s="13" t="s">
        <v>277</v>
      </c>
      <c r="J42" s="13"/>
      <c r="K42" s="9" t="s">
        <v>19</v>
      </c>
      <c r="L42" s="38" t="s">
        <v>443</v>
      </c>
      <c r="M42" s="10">
        <v>46317</v>
      </c>
      <c r="N42" s="9"/>
    </row>
    <row r="43" spans="1:14" ht="51" x14ac:dyDescent="0.15">
      <c r="A43" s="7" t="s">
        <v>278</v>
      </c>
      <c r="B43" s="8" t="s">
        <v>279</v>
      </c>
      <c r="C43" s="8" t="s">
        <v>280</v>
      </c>
      <c r="D43" s="8" t="s">
        <v>266</v>
      </c>
      <c r="E43" s="8" t="s">
        <v>266</v>
      </c>
      <c r="F43" s="8" t="s">
        <v>247</v>
      </c>
      <c r="G43" s="8" t="s">
        <v>169</v>
      </c>
      <c r="H43" s="8" t="s">
        <v>281</v>
      </c>
      <c r="I43" s="8" t="s">
        <v>282</v>
      </c>
      <c r="J43" s="8"/>
      <c r="K43" s="9" t="s">
        <v>19</v>
      </c>
      <c r="L43" s="38" t="s">
        <v>443</v>
      </c>
      <c r="M43" s="10">
        <v>46317</v>
      </c>
      <c r="N43" s="9"/>
    </row>
    <row r="44" spans="1:14" ht="25.5" x14ac:dyDescent="0.15">
      <c r="A44" s="12" t="s">
        <v>283</v>
      </c>
      <c r="B44" s="13" t="s">
        <v>284</v>
      </c>
      <c r="C44" s="13" t="s">
        <v>285</v>
      </c>
      <c r="D44" s="13" t="s">
        <v>266</v>
      </c>
      <c r="E44" s="13" t="s">
        <v>266</v>
      </c>
      <c r="F44" s="13" t="s">
        <v>247</v>
      </c>
      <c r="G44" s="13" t="s">
        <v>169</v>
      </c>
      <c r="H44" s="13" t="s">
        <v>286</v>
      </c>
      <c r="I44" s="13" t="s">
        <v>287</v>
      </c>
      <c r="J44" s="13"/>
      <c r="K44" s="9" t="s">
        <v>19</v>
      </c>
      <c r="L44" s="38" t="s">
        <v>443</v>
      </c>
      <c r="M44" s="10">
        <v>46317</v>
      </c>
      <c r="N44" s="9"/>
    </row>
    <row r="45" spans="1:14" ht="38.25" x14ac:dyDescent="0.15">
      <c r="A45" s="12" t="s">
        <v>288</v>
      </c>
      <c r="B45" s="13" t="s">
        <v>284</v>
      </c>
      <c r="C45" s="14" t="s">
        <v>285</v>
      </c>
      <c r="D45" s="14" t="s">
        <v>266</v>
      </c>
      <c r="E45" s="14" t="s">
        <v>266</v>
      </c>
      <c r="F45" s="14" t="s">
        <v>247</v>
      </c>
      <c r="G45" s="14" t="s">
        <v>169</v>
      </c>
      <c r="H45" s="40" t="s">
        <v>449</v>
      </c>
      <c r="I45" s="13" t="s">
        <v>289</v>
      </c>
      <c r="J45" s="13"/>
      <c r="K45" s="9" t="s">
        <v>19</v>
      </c>
      <c r="L45" s="38" t="s">
        <v>443</v>
      </c>
      <c r="M45" s="10">
        <v>46317</v>
      </c>
      <c r="N45" s="9"/>
    </row>
    <row r="46" spans="1:14" ht="25.5" x14ac:dyDescent="0.15">
      <c r="A46" s="7" t="s">
        <v>290</v>
      </c>
      <c r="B46" s="8" t="s">
        <v>291</v>
      </c>
      <c r="C46" s="8" t="s">
        <v>292</v>
      </c>
      <c r="D46" s="8" t="s">
        <v>266</v>
      </c>
      <c r="E46" s="8" t="s">
        <v>266</v>
      </c>
      <c r="F46" s="8" t="s">
        <v>247</v>
      </c>
      <c r="G46" s="8" t="s">
        <v>169</v>
      </c>
      <c r="H46" s="8" t="s">
        <v>293</v>
      </c>
      <c r="I46" s="8" t="s">
        <v>294</v>
      </c>
      <c r="J46" s="8"/>
      <c r="K46" s="9" t="s">
        <v>19</v>
      </c>
      <c r="L46" s="38" t="s">
        <v>443</v>
      </c>
      <c r="M46" s="10">
        <v>46317</v>
      </c>
      <c r="N46" s="9"/>
    </row>
    <row r="47" spans="1:14" ht="38.25" x14ac:dyDescent="0.15">
      <c r="A47" s="12" t="s">
        <v>295</v>
      </c>
      <c r="B47" s="13" t="s">
        <v>296</v>
      </c>
      <c r="C47" s="13" t="s">
        <v>297</v>
      </c>
      <c r="D47" s="13" t="s">
        <v>298</v>
      </c>
      <c r="E47" s="13" t="s">
        <v>246</v>
      </c>
      <c r="F47" s="13" t="s">
        <v>299</v>
      </c>
      <c r="G47" s="13" t="s">
        <v>300</v>
      </c>
      <c r="H47" s="13" t="s">
        <v>301</v>
      </c>
      <c r="I47" s="13" t="s">
        <v>302</v>
      </c>
      <c r="J47" s="13"/>
      <c r="K47" s="9" t="s">
        <v>19</v>
      </c>
      <c r="L47" s="38" t="s">
        <v>443</v>
      </c>
      <c r="M47" s="10">
        <v>46317</v>
      </c>
      <c r="N47" s="9"/>
    </row>
    <row r="48" spans="1:14" ht="25.5" x14ac:dyDescent="0.15">
      <c r="A48" s="12" t="s">
        <v>303</v>
      </c>
      <c r="B48" s="13" t="s">
        <v>296</v>
      </c>
      <c r="C48" s="14" t="s">
        <v>297</v>
      </c>
      <c r="D48" s="14" t="s">
        <v>298</v>
      </c>
      <c r="E48" s="14" t="s">
        <v>246</v>
      </c>
      <c r="F48" s="14" t="s">
        <v>299</v>
      </c>
      <c r="G48" s="14" t="s">
        <v>300</v>
      </c>
      <c r="H48" s="13" t="s">
        <v>304</v>
      </c>
      <c r="I48" s="13" t="s">
        <v>305</v>
      </c>
      <c r="J48" s="13"/>
      <c r="K48" s="9" t="s">
        <v>19</v>
      </c>
      <c r="L48" s="38" t="s">
        <v>443</v>
      </c>
      <c r="M48" s="10">
        <v>46317</v>
      </c>
      <c r="N48" s="9"/>
    </row>
    <row r="49" spans="1:14" ht="25.5" x14ac:dyDescent="0.15">
      <c r="A49" s="12" t="s">
        <v>306</v>
      </c>
      <c r="B49" s="13" t="s">
        <v>296</v>
      </c>
      <c r="C49" s="14" t="s">
        <v>297</v>
      </c>
      <c r="D49" s="14" t="s">
        <v>298</v>
      </c>
      <c r="E49" s="14" t="s">
        <v>246</v>
      </c>
      <c r="F49" s="14" t="s">
        <v>299</v>
      </c>
      <c r="G49" s="14" t="s">
        <v>300</v>
      </c>
      <c r="H49" s="13" t="s">
        <v>307</v>
      </c>
      <c r="I49" s="13" t="s">
        <v>308</v>
      </c>
      <c r="J49" s="13"/>
      <c r="K49" s="9" t="s">
        <v>19</v>
      </c>
      <c r="L49" s="38" t="s">
        <v>443</v>
      </c>
      <c r="M49" s="10">
        <v>46317</v>
      </c>
      <c r="N49" s="9"/>
    </row>
    <row r="50" spans="1:14" ht="25.5" x14ac:dyDescent="0.15">
      <c r="A50" s="7" t="s">
        <v>309</v>
      </c>
      <c r="B50" s="8" t="s">
        <v>310</v>
      </c>
      <c r="C50" s="8" t="s">
        <v>311</v>
      </c>
      <c r="D50" s="8" t="s">
        <v>168</v>
      </c>
      <c r="E50" s="8" t="s">
        <v>246</v>
      </c>
      <c r="F50" s="8" t="s">
        <v>247</v>
      </c>
      <c r="G50" s="8" t="s">
        <v>169</v>
      </c>
      <c r="H50" s="8" t="s">
        <v>312</v>
      </c>
      <c r="I50" s="8" t="s">
        <v>313</v>
      </c>
      <c r="J50" s="8"/>
      <c r="K50" s="9" t="s">
        <v>19</v>
      </c>
      <c r="L50" s="38" t="s">
        <v>443</v>
      </c>
      <c r="M50" s="10">
        <v>46317</v>
      </c>
      <c r="N50" s="9"/>
    </row>
  </sheetData>
  <autoFilter ref="A3:N50" xr:uid="{00000000-0009-0000-0000-000001000000}"/>
  <mergeCells count="5">
    <mergeCell ref="A22:N22"/>
    <mergeCell ref="A35:N35"/>
    <mergeCell ref="A4:N4"/>
    <mergeCell ref="A2:N2"/>
    <mergeCell ref="A1:N1"/>
  </mergeCells>
  <phoneticPr fontId="12"/>
  <conditionalFormatting sqref="K4:K50">
    <cfRule type="expression" dxfId="17" priority="1">
      <formula>$K4="Pass"</formula>
    </cfRule>
    <cfRule type="expression" dxfId="16" priority="2">
      <formula>$K4="Fail"</formula>
    </cfRule>
    <cfRule type="expression" dxfId="15" priority="3">
      <formula>$K4="Blocked"</formula>
    </cfRule>
    <cfRule type="expression" dxfId="14" priority="4">
      <formula>$K4="N/A"</formula>
    </cfRule>
    <cfRule type="expression" dxfId="13" priority="5">
      <formula>$K4="Not run"</formula>
    </cfRule>
  </conditionalFormatting>
  <dataValidations count="2">
    <dataValidation type="list" allowBlank="1" sqref="K4:K50" xr:uid="{00000000-0002-0000-0100-000000000000}">
      <formula1>"Pass,Fail,Blocked,Not run,N/A"</formula1>
    </dataValidation>
    <dataValidation type="date" operator="greaterThan" allowBlank="1" error="Enter a date, e.g. 2026-10-22" sqref="M4:M50" xr:uid="{00000000-0002-0000-0100-000001000000}">
      <formula1>44927</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workbookViewId="0">
      <pane xSplit="2" ySplit="4" topLeftCell="C5" activePane="bottomRight" state="frozen"/>
      <selection pane="topRight"/>
      <selection pane="bottomLeft"/>
      <selection pane="bottomRight" sqref="A1:N1"/>
    </sheetView>
  </sheetViews>
  <sheetFormatPr defaultRowHeight="13.5" x14ac:dyDescent="0.15"/>
  <cols>
    <col min="1" max="1" width="8" customWidth="1"/>
    <col min="2" max="2" width="46" customWidth="1"/>
    <col min="3" max="3" width="20" customWidth="1"/>
    <col min="4" max="4" width="11" customWidth="1"/>
    <col min="5" max="5" width="8" customWidth="1"/>
    <col min="6" max="6" width="9" customWidth="1"/>
    <col min="7" max="8" width="7" customWidth="1"/>
    <col min="9" max="9" width="8" customWidth="1"/>
    <col min="10" max="10" width="7" customWidth="1"/>
    <col min="11" max="12" width="10" customWidth="1"/>
    <col min="13" max="13" width="9" customWidth="1"/>
    <col min="14" max="14" width="13" customWidth="1"/>
  </cols>
  <sheetData>
    <row r="1" spans="1:14" ht="18" x14ac:dyDescent="0.25">
      <c r="A1" s="29" t="s">
        <v>314</v>
      </c>
      <c r="B1" s="26"/>
      <c r="C1" s="26"/>
      <c r="D1" s="26"/>
      <c r="E1" s="26"/>
      <c r="F1" s="26"/>
      <c r="G1" s="26"/>
      <c r="H1" s="26"/>
      <c r="I1" s="26"/>
      <c r="J1" s="26"/>
      <c r="K1" s="26"/>
      <c r="L1" s="26"/>
      <c r="M1" s="26"/>
      <c r="N1" s="26"/>
    </row>
    <row r="2" spans="1:14" ht="27.95" customHeight="1" x14ac:dyDescent="0.15">
      <c r="A2" s="35" t="s">
        <v>315</v>
      </c>
      <c r="B2" s="26"/>
      <c r="C2" s="26"/>
      <c r="D2" s="26"/>
      <c r="E2" s="26"/>
      <c r="F2" s="26"/>
      <c r="G2" s="26"/>
      <c r="H2" s="26"/>
      <c r="I2" s="26"/>
      <c r="J2" s="26"/>
      <c r="K2" s="26"/>
      <c r="L2" s="26"/>
      <c r="M2" s="26"/>
      <c r="N2" s="26"/>
    </row>
    <row r="4" spans="1:14" ht="27.95" customHeight="1" x14ac:dyDescent="0.15">
      <c r="A4" s="6" t="s">
        <v>86</v>
      </c>
      <c r="B4" s="6" t="s">
        <v>87</v>
      </c>
      <c r="C4" s="6" t="s">
        <v>88</v>
      </c>
      <c r="D4" s="6" t="s">
        <v>89</v>
      </c>
      <c r="E4" s="6" t="s">
        <v>316</v>
      </c>
      <c r="F4" s="6" t="s">
        <v>317</v>
      </c>
      <c r="G4" s="6" t="s">
        <v>19</v>
      </c>
      <c r="H4" s="6" t="s">
        <v>21</v>
      </c>
      <c r="I4" s="6" t="s">
        <v>23</v>
      </c>
      <c r="J4" s="6" t="s">
        <v>27</v>
      </c>
      <c r="K4" s="6" t="s">
        <v>318</v>
      </c>
      <c r="L4" s="6" t="s">
        <v>319</v>
      </c>
      <c r="M4" s="6" t="s">
        <v>320</v>
      </c>
      <c r="N4" s="6" t="s">
        <v>321</v>
      </c>
    </row>
    <row r="5" spans="1:14" x14ac:dyDescent="0.15">
      <c r="A5" s="15" t="s">
        <v>100</v>
      </c>
      <c r="B5" s="16" t="s">
        <v>101</v>
      </c>
      <c r="C5" s="16" t="s">
        <v>102</v>
      </c>
      <c r="D5" s="16" t="s">
        <v>103</v>
      </c>
      <c r="E5" s="16">
        <f>COUNTIF(Checklist!$B$4:$B$50,$A5)</f>
        <v>3</v>
      </c>
      <c r="F5" s="16">
        <f>COUNTIFS(Checklist!$B$4:$B$50,$A5,Checklist!$J$4:$J$50,"&lt;&gt;Yes")</f>
        <v>3</v>
      </c>
      <c r="G5" s="16">
        <f>COUNTIFS(Checklist!$B$4:$B$50,$A5,Checklist!$K$4:$K$50,"Pass")</f>
        <v>3</v>
      </c>
      <c r="H5" s="16">
        <f>COUNTIFS(Checklist!$B$4:$B$50,$A5,Checklist!$K$4:$K$50,"Fail")</f>
        <v>0</v>
      </c>
      <c r="I5" s="16">
        <f>COUNTIFS(Checklist!$B$4:$B$50,$A5,Checklist!$K$4:$K$50,"Blocked")</f>
        <v>0</v>
      </c>
      <c r="J5" s="16">
        <f>COUNTIFS(Checklist!$B$4:$B$50,$A5,Checklist!$K$4:$K$50,"N/A")</f>
        <v>0</v>
      </c>
      <c r="K5" s="16">
        <f t="shared" ref="K5:K27" si="0">E5-G5-H5-I5-J5</f>
        <v>0</v>
      </c>
      <c r="L5" s="16">
        <f>COUNTIFS(Checklist!$B$4:$B$50,$A5,Checklist!$J$4:$J$50,"&lt;&gt;Yes",Checklist!$K$4:$K$50,"&lt;&gt;Pass",Checklist!$K$4:$K$50,"&lt;&gt;N/A")</f>
        <v>0</v>
      </c>
      <c r="M5" s="17">
        <f t="shared" ref="M5:M28" si="1">IF(E5=0,0,(G5+H5+I5+J5)/E5)</f>
        <v>1</v>
      </c>
      <c r="N5" s="16" t="str">
        <f t="shared" ref="N5:N28" si="2">IF(H5&gt;0,"Fail",IF(I5&gt;0,"Blocked",IF(G5+H5+I5+J5=0,IF(F5=0,"Optional","Not started"),IF(L5=0,"Pass","In progress"))))</f>
        <v>Pass</v>
      </c>
    </row>
    <row r="6" spans="1:14" ht="25.5" x14ac:dyDescent="0.15">
      <c r="A6" s="15" t="s">
        <v>115</v>
      </c>
      <c r="B6" s="16" t="s">
        <v>116</v>
      </c>
      <c r="C6" s="16" t="s">
        <v>102</v>
      </c>
      <c r="D6" s="16" t="s">
        <v>103</v>
      </c>
      <c r="E6" s="16">
        <f>COUNTIF(Checklist!$B$4:$B$50,$A6)</f>
        <v>4</v>
      </c>
      <c r="F6" s="16">
        <f>COUNTIFS(Checklist!$B$4:$B$50,$A6,Checklist!$J$4:$J$50,"&lt;&gt;Yes")</f>
        <v>4</v>
      </c>
      <c r="G6" s="16">
        <f>COUNTIFS(Checklist!$B$4:$B$50,$A6,Checklist!$K$4:$K$50,"Pass")</f>
        <v>3</v>
      </c>
      <c r="H6" s="16">
        <f>COUNTIFS(Checklist!$B$4:$B$50,$A6,Checklist!$K$4:$K$50,"Fail")</f>
        <v>0</v>
      </c>
      <c r="I6" s="16">
        <f>COUNTIFS(Checklist!$B$4:$B$50,$A6,Checklist!$K$4:$K$50,"Blocked")</f>
        <v>0</v>
      </c>
      <c r="J6" s="16">
        <f>COUNTIFS(Checklist!$B$4:$B$50,$A6,Checklist!$K$4:$K$50,"N/A")</f>
        <v>0</v>
      </c>
      <c r="K6" s="16">
        <f t="shared" si="0"/>
        <v>1</v>
      </c>
      <c r="L6" s="16">
        <f>COUNTIFS(Checklist!$B$4:$B$50,$A6,Checklist!$J$4:$J$50,"&lt;&gt;Yes",Checklist!$K$4:$K$50,"&lt;&gt;Pass",Checklist!$K$4:$K$50,"&lt;&gt;N/A")</f>
        <v>1</v>
      </c>
      <c r="M6" s="17">
        <f t="shared" si="1"/>
        <v>0.75</v>
      </c>
      <c r="N6" s="16" t="str">
        <f t="shared" si="2"/>
        <v>In progress</v>
      </c>
    </row>
    <row r="7" spans="1:14" ht="25.5" x14ac:dyDescent="0.15">
      <c r="A7" s="15" t="s">
        <v>129</v>
      </c>
      <c r="B7" s="16" t="s">
        <v>130</v>
      </c>
      <c r="C7" s="16" t="s">
        <v>131</v>
      </c>
      <c r="D7" s="16" t="s">
        <v>103</v>
      </c>
      <c r="E7" s="16">
        <f>COUNTIF(Checklist!$B$4:$B$50,$A7)</f>
        <v>2</v>
      </c>
      <c r="F7" s="16">
        <f>COUNTIFS(Checklist!$B$4:$B$50,$A7,Checklist!$J$4:$J$50,"&lt;&gt;Yes")</f>
        <v>2</v>
      </c>
      <c r="G7" s="16">
        <f>COUNTIFS(Checklist!$B$4:$B$50,$A7,Checklist!$K$4:$K$50,"Pass")</f>
        <v>2</v>
      </c>
      <c r="H7" s="16">
        <f>COUNTIFS(Checklist!$B$4:$B$50,$A7,Checklist!$K$4:$K$50,"Fail")</f>
        <v>0</v>
      </c>
      <c r="I7" s="16">
        <f>COUNTIFS(Checklist!$B$4:$B$50,$A7,Checklist!$K$4:$K$50,"Blocked")</f>
        <v>0</v>
      </c>
      <c r="J7" s="16">
        <f>COUNTIFS(Checklist!$B$4:$B$50,$A7,Checklist!$K$4:$K$50,"N/A")</f>
        <v>0</v>
      </c>
      <c r="K7" s="16">
        <f t="shared" si="0"/>
        <v>0</v>
      </c>
      <c r="L7" s="16">
        <f>COUNTIFS(Checklist!$B$4:$B$50,$A7,Checklist!$J$4:$J$50,"&lt;&gt;Yes",Checklist!$K$4:$K$50,"&lt;&gt;Pass",Checklist!$K$4:$K$50,"&lt;&gt;N/A")</f>
        <v>0</v>
      </c>
      <c r="M7" s="17">
        <f t="shared" si="1"/>
        <v>1</v>
      </c>
      <c r="N7" s="16" t="str">
        <f t="shared" si="2"/>
        <v>Pass</v>
      </c>
    </row>
    <row r="8" spans="1:14" x14ac:dyDescent="0.15">
      <c r="A8" s="15" t="s">
        <v>138</v>
      </c>
      <c r="B8" s="16" t="s">
        <v>139</v>
      </c>
      <c r="C8" s="16" t="s">
        <v>140</v>
      </c>
      <c r="D8" s="16" t="s">
        <v>103</v>
      </c>
      <c r="E8" s="16">
        <f>COUNTIF(Checklist!$B$4:$B$50,$A8)</f>
        <v>2</v>
      </c>
      <c r="F8" s="16">
        <f>COUNTIFS(Checklist!$B$4:$B$50,$A8,Checklist!$J$4:$J$50,"&lt;&gt;Yes")</f>
        <v>1</v>
      </c>
      <c r="G8" s="16">
        <f>COUNTIFS(Checklist!$B$4:$B$50,$A8,Checklist!$K$4:$K$50,"Pass")</f>
        <v>2</v>
      </c>
      <c r="H8" s="16">
        <f>COUNTIFS(Checklist!$B$4:$B$50,$A8,Checklist!$K$4:$K$50,"Fail")</f>
        <v>0</v>
      </c>
      <c r="I8" s="16">
        <f>COUNTIFS(Checklist!$B$4:$B$50,$A8,Checklist!$K$4:$K$50,"Blocked")</f>
        <v>0</v>
      </c>
      <c r="J8" s="16">
        <f>COUNTIFS(Checklist!$B$4:$B$50,$A8,Checklist!$K$4:$K$50,"N/A")</f>
        <v>0</v>
      </c>
      <c r="K8" s="16">
        <f t="shared" si="0"/>
        <v>0</v>
      </c>
      <c r="L8" s="16">
        <f>COUNTIFS(Checklist!$B$4:$B$50,$A8,Checklist!$J$4:$J$50,"&lt;&gt;Yes",Checklist!$K$4:$K$50,"&lt;&gt;Pass",Checklist!$K$4:$K$50,"&lt;&gt;N/A")</f>
        <v>0</v>
      </c>
      <c r="M8" s="17">
        <f t="shared" si="1"/>
        <v>1</v>
      </c>
      <c r="N8" s="16" t="str">
        <f t="shared" si="2"/>
        <v>Pass</v>
      </c>
    </row>
    <row r="9" spans="1:14" x14ac:dyDescent="0.15">
      <c r="A9" s="15" t="s">
        <v>149</v>
      </c>
      <c r="B9" s="16" t="s">
        <v>150</v>
      </c>
      <c r="C9" s="16" t="s">
        <v>151</v>
      </c>
      <c r="D9" s="16" t="s">
        <v>103</v>
      </c>
      <c r="E9" s="16">
        <f>COUNTIF(Checklist!$B$4:$B$50,$A9)</f>
        <v>1</v>
      </c>
      <c r="F9" s="16">
        <f>COUNTIFS(Checklist!$B$4:$B$50,$A9,Checklist!$J$4:$J$50,"&lt;&gt;Yes")</f>
        <v>1</v>
      </c>
      <c r="G9" s="16">
        <f>COUNTIFS(Checklist!$B$4:$B$50,$A9,Checklist!$K$4:$K$50,"Pass")</f>
        <v>1</v>
      </c>
      <c r="H9" s="16">
        <f>COUNTIFS(Checklist!$B$4:$B$50,$A9,Checklist!$K$4:$K$50,"Fail")</f>
        <v>0</v>
      </c>
      <c r="I9" s="16">
        <f>COUNTIFS(Checklist!$B$4:$B$50,$A9,Checklist!$K$4:$K$50,"Blocked")</f>
        <v>0</v>
      </c>
      <c r="J9" s="16">
        <f>COUNTIFS(Checklist!$B$4:$B$50,$A9,Checklist!$K$4:$K$50,"N/A")</f>
        <v>0</v>
      </c>
      <c r="K9" s="16">
        <f t="shared" si="0"/>
        <v>0</v>
      </c>
      <c r="L9" s="16">
        <f>COUNTIFS(Checklist!$B$4:$B$50,$A9,Checklist!$J$4:$J$50,"&lt;&gt;Yes",Checklist!$K$4:$K$50,"&lt;&gt;Pass",Checklist!$K$4:$K$50,"&lt;&gt;N/A")</f>
        <v>0</v>
      </c>
      <c r="M9" s="17">
        <f t="shared" si="1"/>
        <v>1</v>
      </c>
      <c r="N9" s="16" t="str">
        <f t="shared" si="2"/>
        <v>Pass</v>
      </c>
    </row>
    <row r="10" spans="1:14" x14ac:dyDescent="0.15">
      <c r="A10" s="15" t="s">
        <v>156</v>
      </c>
      <c r="B10" s="16" t="s">
        <v>157</v>
      </c>
      <c r="C10" s="16" t="s">
        <v>158</v>
      </c>
      <c r="D10" s="16" t="s">
        <v>103</v>
      </c>
      <c r="E10" s="16">
        <f>COUNTIF(Checklist!$B$4:$B$50,$A10)</f>
        <v>2</v>
      </c>
      <c r="F10" s="16">
        <f>COUNTIFS(Checklist!$B$4:$B$50,$A10,Checklist!$J$4:$J$50,"&lt;&gt;Yes")</f>
        <v>2</v>
      </c>
      <c r="G10" s="16">
        <f>COUNTIFS(Checklist!$B$4:$B$50,$A10,Checklist!$K$4:$K$50,"Pass")</f>
        <v>2</v>
      </c>
      <c r="H10" s="16">
        <f>COUNTIFS(Checklist!$B$4:$B$50,$A10,Checklist!$K$4:$K$50,"Fail")</f>
        <v>0</v>
      </c>
      <c r="I10" s="16">
        <f>COUNTIFS(Checklist!$B$4:$B$50,$A10,Checklist!$K$4:$K$50,"Blocked")</f>
        <v>0</v>
      </c>
      <c r="J10" s="16">
        <f>COUNTIFS(Checklist!$B$4:$B$50,$A10,Checklist!$K$4:$K$50,"N/A")</f>
        <v>0</v>
      </c>
      <c r="K10" s="16">
        <f t="shared" si="0"/>
        <v>0</v>
      </c>
      <c r="L10" s="16">
        <f>COUNTIFS(Checklist!$B$4:$B$50,$A10,Checklist!$J$4:$J$50,"&lt;&gt;Yes",Checklist!$K$4:$K$50,"&lt;&gt;Pass",Checklist!$K$4:$K$50,"&lt;&gt;N/A")</f>
        <v>0</v>
      </c>
      <c r="M10" s="17">
        <f t="shared" si="1"/>
        <v>1</v>
      </c>
      <c r="N10" s="16" t="str">
        <f t="shared" si="2"/>
        <v>Pass</v>
      </c>
    </row>
    <row r="11" spans="1:14" x14ac:dyDescent="0.15">
      <c r="A11" s="15" t="s">
        <v>166</v>
      </c>
      <c r="B11" s="16" t="s">
        <v>167</v>
      </c>
      <c r="C11" s="16" t="s">
        <v>168</v>
      </c>
      <c r="D11" s="16" t="s">
        <v>103</v>
      </c>
      <c r="E11" s="16">
        <f>COUNTIF(Checklist!$B$4:$B$50,$A11)</f>
        <v>1</v>
      </c>
      <c r="F11" s="16">
        <f>COUNTIFS(Checklist!$B$4:$B$50,$A11,Checklist!$J$4:$J$50,"&lt;&gt;Yes")</f>
        <v>1</v>
      </c>
      <c r="G11" s="16">
        <f>COUNTIFS(Checklist!$B$4:$B$50,$A11,Checklist!$K$4:$K$50,"Pass")</f>
        <v>1</v>
      </c>
      <c r="H11" s="16">
        <f>COUNTIFS(Checklist!$B$4:$B$50,$A11,Checklist!$K$4:$K$50,"Fail")</f>
        <v>0</v>
      </c>
      <c r="I11" s="16">
        <f>COUNTIFS(Checklist!$B$4:$B$50,$A11,Checklist!$K$4:$K$50,"Blocked")</f>
        <v>0</v>
      </c>
      <c r="J11" s="16">
        <f>COUNTIFS(Checklist!$B$4:$B$50,$A11,Checklist!$K$4:$K$50,"N/A")</f>
        <v>0</v>
      </c>
      <c r="K11" s="16">
        <f t="shared" si="0"/>
        <v>0</v>
      </c>
      <c r="L11" s="16">
        <f>COUNTIFS(Checklist!$B$4:$B$50,$A11,Checklist!$J$4:$J$50,"&lt;&gt;Yes",Checklist!$K$4:$K$50,"&lt;&gt;Pass",Checklist!$K$4:$K$50,"&lt;&gt;N/A")</f>
        <v>0</v>
      </c>
      <c r="M11" s="17">
        <f t="shared" si="1"/>
        <v>1</v>
      </c>
      <c r="N11" s="16" t="str">
        <f t="shared" si="2"/>
        <v>Pass</v>
      </c>
    </row>
    <row r="12" spans="1:14" x14ac:dyDescent="0.15">
      <c r="A12" s="15" t="s">
        <v>173</v>
      </c>
      <c r="B12" s="16" t="s">
        <v>174</v>
      </c>
      <c r="C12" s="16" t="s">
        <v>175</v>
      </c>
      <c r="D12" s="16" t="s">
        <v>176</v>
      </c>
      <c r="E12" s="16">
        <f>COUNTIF(Checklist!$B$4:$B$50,$A12)</f>
        <v>2</v>
      </c>
      <c r="F12" s="16">
        <f>COUNTIFS(Checklist!$B$4:$B$50,$A12,Checklist!$J$4:$J$50,"&lt;&gt;Yes")</f>
        <v>0</v>
      </c>
      <c r="G12" s="16">
        <f>COUNTIFS(Checklist!$B$4:$B$50,$A12,Checklist!$K$4:$K$50,"Pass")</f>
        <v>2</v>
      </c>
      <c r="H12" s="16">
        <f>COUNTIFS(Checklist!$B$4:$B$50,$A12,Checklist!$K$4:$K$50,"Fail")</f>
        <v>0</v>
      </c>
      <c r="I12" s="16">
        <f>COUNTIFS(Checklist!$B$4:$B$50,$A12,Checklist!$K$4:$K$50,"Blocked")</f>
        <v>0</v>
      </c>
      <c r="J12" s="16">
        <f>COUNTIFS(Checklist!$B$4:$B$50,$A12,Checklist!$K$4:$K$50,"N/A")</f>
        <v>0</v>
      </c>
      <c r="K12" s="16">
        <f t="shared" si="0"/>
        <v>0</v>
      </c>
      <c r="L12" s="16">
        <f>COUNTIFS(Checklist!$B$4:$B$50,$A12,Checklist!$J$4:$J$50,"&lt;&gt;Yes",Checklist!$K$4:$K$50,"&lt;&gt;Pass",Checklist!$K$4:$K$50,"&lt;&gt;N/A")</f>
        <v>0</v>
      </c>
      <c r="M12" s="17">
        <f t="shared" si="1"/>
        <v>1</v>
      </c>
      <c r="N12" s="16" t="str">
        <f t="shared" si="2"/>
        <v>Pass</v>
      </c>
    </row>
    <row r="13" spans="1:14" x14ac:dyDescent="0.15">
      <c r="A13" s="15" t="s">
        <v>184</v>
      </c>
      <c r="B13" s="16" t="s">
        <v>185</v>
      </c>
      <c r="C13" s="16" t="s">
        <v>186</v>
      </c>
      <c r="D13" s="16" t="s">
        <v>176</v>
      </c>
      <c r="E13" s="16">
        <f>COUNTIF(Checklist!$B$4:$B$50,$A13)</f>
        <v>2</v>
      </c>
      <c r="F13" s="16">
        <f>COUNTIFS(Checklist!$B$4:$B$50,$A13,Checklist!$J$4:$J$50,"&lt;&gt;Yes")</f>
        <v>2</v>
      </c>
      <c r="G13" s="16">
        <f>COUNTIFS(Checklist!$B$4:$B$50,$A13,Checklist!$K$4:$K$50,"Pass")</f>
        <v>2</v>
      </c>
      <c r="H13" s="16">
        <f>COUNTIFS(Checklist!$B$4:$B$50,$A13,Checklist!$K$4:$K$50,"Fail")</f>
        <v>0</v>
      </c>
      <c r="I13" s="16">
        <f>COUNTIFS(Checklist!$B$4:$B$50,$A13,Checklist!$K$4:$K$50,"Blocked")</f>
        <v>0</v>
      </c>
      <c r="J13" s="16">
        <f>COUNTIFS(Checklist!$B$4:$B$50,$A13,Checklist!$K$4:$K$50,"N/A")</f>
        <v>0</v>
      </c>
      <c r="K13" s="16">
        <f t="shared" si="0"/>
        <v>0</v>
      </c>
      <c r="L13" s="16">
        <f>COUNTIFS(Checklist!$B$4:$B$50,$A13,Checklist!$J$4:$J$50,"&lt;&gt;Yes",Checklist!$K$4:$K$50,"&lt;&gt;Pass",Checklist!$K$4:$K$50,"&lt;&gt;N/A")</f>
        <v>0</v>
      </c>
      <c r="M13" s="17">
        <f t="shared" si="1"/>
        <v>1</v>
      </c>
      <c r="N13" s="16" t="str">
        <f t="shared" si="2"/>
        <v>Pass</v>
      </c>
    </row>
    <row r="14" spans="1:14" x14ac:dyDescent="0.15">
      <c r="A14" s="15" t="s">
        <v>195</v>
      </c>
      <c r="B14" s="16" t="s">
        <v>196</v>
      </c>
      <c r="C14" s="16" t="s">
        <v>197</v>
      </c>
      <c r="D14" s="16" t="s">
        <v>176</v>
      </c>
      <c r="E14" s="16">
        <f>COUNTIF(Checklist!$B$4:$B$50,$A14)</f>
        <v>5</v>
      </c>
      <c r="F14" s="16">
        <f>COUNTIFS(Checklist!$B$4:$B$50,$A14,Checklist!$J$4:$J$50,"&lt;&gt;Yes")</f>
        <v>5</v>
      </c>
      <c r="G14" s="16">
        <f>COUNTIFS(Checklist!$B$4:$B$50,$A14,Checklist!$K$4:$K$50,"Pass")</f>
        <v>5</v>
      </c>
      <c r="H14" s="16">
        <f>COUNTIFS(Checklist!$B$4:$B$50,$A14,Checklist!$K$4:$K$50,"Fail")</f>
        <v>0</v>
      </c>
      <c r="I14" s="16">
        <f>COUNTIFS(Checklist!$B$4:$B$50,$A14,Checklist!$K$4:$K$50,"Blocked")</f>
        <v>0</v>
      </c>
      <c r="J14" s="16">
        <f>COUNTIFS(Checklist!$B$4:$B$50,$A14,Checklist!$K$4:$K$50,"N/A")</f>
        <v>0</v>
      </c>
      <c r="K14" s="16">
        <f t="shared" si="0"/>
        <v>0</v>
      </c>
      <c r="L14" s="16">
        <f>COUNTIFS(Checklist!$B$4:$B$50,$A14,Checklist!$J$4:$J$50,"&lt;&gt;Yes",Checklist!$K$4:$K$50,"&lt;&gt;Pass",Checklist!$K$4:$K$50,"&lt;&gt;N/A")</f>
        <v>0</v>
      </c>
      <c r="M14" s="17">
        <f t="shared" si="1"/>
        <v>1</v>
      </c>
      <c r="N14" s="16" t="str">
        <f t="shared" si="2"/>
        <v>Pass</v>
      </c>
    </row>
    <row r="15" spans="1:14" x14ac:dyDescent="0.15">
      <c r="A15" s="15" t="s">
        <v>214</v>
      </c>
      <c r="B15" s="16" t="s">
        <v>215</v>
      </c>
      <c r="C15" s="16" t="s">
        <v>176</v>
      </c>
      <c r="D15" s="16" t="s">
        <v>176</v>
      </c>
      <c r="E15" s="16">
        <f>COUNTIF(Checklist!$B$4:$B$50,$A15)</f>
        <v>1</v>
      </c>
      <c r="F15" s="16">
        <f>COUNTIFS(Checklist!$B$4:$B$50,$A15,Checklist!$J$4:$J$50,"&lt;&gt;Yes")</f>
        <v>1</v>
      </c>
      <c r="G15" s="16">
        <f>COUNTIFS(Checklist!$B$4:$B$50,$A15,Checklist!$K$4:$K$50,"Pass")</f>
        <v>1</v>
      </c>
      <c r="H15" s="16">
        <f>COUNTIFS(Checklist!$B$4:$B$50,$A15,Checklist!$K$4:$K$50,"Fail")</f>
        <v>0</v>
      </c>
      <c r="I15" s="16">
        <f>COUNTIFS(Checklist!$B$4:$B$50,$A15,Checklist!$K$4:$K$50,"Blocked")</f>
        <v>0</v>
      </c>
      <c r="J15" s="16">
        <f>COUNTIFS(Checklist!$B$4:$B$50,$A15,Checklist!$K$4:$K$50,"N/A")</f>
        <v>0</v>
      </c>
      <c r="K15" s="16">
        <f t="shared" si="0"/>
        <v>0</v>
      </c>
      <c r="L15" s="16">
        <f>COUNTIFS(Checklist!$B$4:$B$50,$A15,Checklist!$J$4:$J$50,"&lt;&gt;Yes",Checklist!$K$4:$K$50,"&lt;&gt;Pass",Checklist!$K$4:$K$50,"&lt;&gt;N/A")</f>
        <v>0</v>
      </c>
      <c r="M15" s="17">
        <f t="shared" si="1"/>
        <v>1</v>
      </c>
      <c r="N15" s="16" t="str">
        <f t="shared" si="2"/>
        <v>Pass</v>
      </c>
    </row>
    <row r="16" spans="1:14" x14ac:dyDescent="0.15">
      <c r="A16" s="15" t="s">
        <v>220</v>
      </c>
      <c r="B16" s="16" t="s">
        <v>221</v>
      </c>
      <c r="C16" s="16" t="s">
        <v>222</v>
      </c>
      <c r="D16" s="16" t="s">
        <v>176</v>
      </c>
      <c r="E16" s="16">
        <f>COUNTIF(Checklist!$B$4:$B$50,$A16)</f>
        <v>2</v>
      </c>
      <c r="F16" s="16">
        <f>COUNTIFS(Checklist!$B$4:$B$50,$A16,Checklist!$J$4:$J$50,"&lt;&gt;Yes")</f>
        <v>2</v>
      </c>
      <c r="G16" s="16">
        <f>COUNTIFS(Checklist!$B$4:$B$50,$A16,Checklist!$K$4:$K$50,"Pass")</f>
        <v>2</v>
      </c>
      <c r="H16" s="16">
        <f>COUNTIFS(Checklist!$B$4:$B$50,$A16,Checklist!$K$4:$K$50,"Fail")</f>
        <v>0</v>
      </c>
      <c r="I16" s="16">
        <f>COUNTIFS(Checklist!$B$4:$B$50,$A16,Checklist!$K$4:$K$50,"Blocked")</f>
        <v>0</v>
      </c>
      <c r="J16" s="16">
        <f>COUNTIFS(Checklist!$B$4:$B$50,$A16,Checklist!$K$4:$K$50,"N/A")</f>
        <v>0</v>
      </c>
      <c r="K16" s="16">
        <f t="shared" si="0"/>
        <v>0</v>
      </c>
      <c r="L16" s="16">
        <f>COUNTIFS(Checklist!$B$4:$B$50,$A16,Checklist!$J$4:$J$50,"&lt;&gt;Yes",Checklist!$K$4:$K$50,"&lt;&gt;Pass",Checklist!$K$4:$K$50,"&lt;&gt;N/A")</f>
        <v>0</v>
      </c>
      <c r="M16" s="17">
        <f t="shared" si="1"/>
        <v>1</v>
      </c>
      <c r="N16" s="16" t="str">
        <f t="shared" si="2"/>
        <v>Pass</v>
      </c>
    </row>
    <row r="17" spans="1:14" x14ac:dyDescent="0.15">
      <c r="A17" s="15" t="s">
        <v>230</v>
      </c>
      <c r="B17" s="16" t="s">
        <v>231</v>
      </c>
      <c r="C17" s="16" t="s">
        <v>176</v>
      </c>
      <c r="D17" s="16" t="s">
        <v>176</v>
      </c>
      <c r="E17" s="16">
        <f>COUNTIF(Checklist!$B$4:$B$50,$A17)</f>
        <v>1</v>
      </c>
      <c r="F17" s="16">
        <f>COUNTIFS(Checklist!$B$4:$B$50,$A17,Checklist!$J$4:$J$50,"&lt;&gt;Yes")</f>
        <v>1</v>
      </c>
      <c r="G17" s="16">
        <f>COUNTIFS(Checklist!$B$4:$B$50,$A17,Checklist!$K$4:$K$50,"Pass")</f>
        <v>1</v>
      </c>
      <c r="H17" s="16">
        <f>COUNTIFS(Checklist!$B$4:$B$50,$A17,Checklist!$K$4:$K$50,"Fail")</f>
        <v>0</v>
      </c>
      <c r="I17" s="16">
        <f>COUNTIFS(Checklist!$B$4:$B$50,$A17,Checklist!$K$4:$K$50,"Blocked")</f>
        <v>0</v>
      </c>
      <c r="J17" s="16">
        <f>COUNTIFS(Checklist!$B$4:$B$50,$A17,Checklist!$K$4:$K$50,"N/A")</f>
        <v>0</v>
      </c>
      <c r="K17" s="16">
        <f t="shared" si="0"/>
        <v>0</v>
      </c>
      <c r="L17" s="16">
        <f>COUNTIFS(Checklist!$B$4:$B$50,$A17,Checklist!$J$4:$J$50,"&lt;&gt;Yes",Checklist!$K$4:$K$50,"&lt;&gt;Pass",Checklist!$K$4:$K$50,"&lt;&gt;N/A")</f>
        <v>0</v>
      </c>
      <c r="M17" s="17">
        <f t="shared" si="1"/>
        <v>1</v>
      </c>
      <c r="N17" s="16" t="str">
        <f t="shared" si="2"/>
        <v>Pass</v>
      </c>
    </row>
    <row r="18" spans="1:14" x14ac:dyDescent="0.15">
      <c r="A18" s="15" t="s">
        <v>236</v>
      </c>
      <c r="B18" s="16" t="s">
        <v>237</v>
      </c>
      <c r="C18" s="16" t="s">
        <v>238</v>
      </c>
      <c r="D18" s="16" t="s">
        <v>176</v>
      </c>
      <c r="E18" s="16">
        <f>COUNTIF(Checklist!$B$4:$B$50,$A18)</f>
        <v>1</v>
      </c>
      <c r="F18" s="16">
        <f>COUNTIFS(Checklist!$B$4:$B$50,$A18,Checklist!$J$4:$J$50,"&lt;&gt;Yes")</f>
        <v>1</v>
      </c>
      <c r="G18" s="16">
        <f>COUNTIFS(Checklist!$B$4:$B$50,$A18,Checklist!$K$4:$K$50,"Pass")</f>
        <v>1</v>
      </c>
      <c r="H18" s="16">
        <f>COUNTIFS(Checklist!$B$4:$B$50,$A18,Checklist!$K$4:$K$50,"Fail")</f>
        <v>0</v>
      </c>
      <c r="I18" s="16">
        <f>COUNTIFS(Checklist!$B$4:$B$50,$A18,Checklist!$K$4:$K$50,"Blocked")</f>
        <v>0</v>
      </c>
      <c r="J18" s="16">
        <f>COUNTIFS(Checklist!$B$4:$B$50,$A18,Checklist!$K$4:$K$50,"N/A")</f>
        <v>0</v>
      </c>
      <c r="K18" s="16">
        <f t="shared" si="0"/>
        <v>0</v>
      </c>
      <c r="L18" s="16">
        <f>COUNTIFS(Checklist!$B$4:$B$50,$A18,Checklist!$J$4:$J$50,"&lt;&gt;Yes",Checklist!$K$4:$K$50,"&lt;&gt;Pass",Checklist!$K$4:$K$50,"&lt;&gt;N/A")</f>
        <v>0</v>
      </c>
      <c r="M18" s="17">
        <f t="shared" si="1"/>
        <v>1</v>
      </c>
      <c r="N18" s="16" t="str">
        <f t="shared" si="2"/>
        <v>Pass</v>
      </c>
    </row>
    <row r="19" spans="1:14" x14ac:dyDescent="0.15">
      <c r="A19" s="15" t="s">
        <v>244</v>
      </c>
      <c r="B19" s="16" t="s">
        <v>245</v>
      </c>
      <c r="C19" s="16" t="s">
        <v>169</v>
      </c>
      <c r="D19" s="16" t="s">
        <v>246</v>
      </c>
      <c r="E19" s="16">
        <f>COUNTIF(Checklist!$B$4:$B$50,$A19)</f>
        <v>1</v>
      </c>
      <c r="F19" s="16">
        <f>COUNTIFS(Checklist!$B$4:$B$50,$A19,Checklist!$J$4:$J$50,"&lt;&gt;Yes")</f>
        <v>1</v>
      </c>
      <c r="G19" s="16">
        <f>COUNTIFS(Checklist!$B$4:$B$50,$A19,Checklist!$K$4:$K$50,"Pass")</f>
        <v>1</v>
      </c>
      <c r="H19" s="16">
        <f>COUNTIFS(Checklist!$B$4:$B$50,$A19,Checklist!$K$4:$K$50,"Fail")</f>
        <v>0</v>
      </c>
      <c r="I19" s="16">
        <f>COUNTIFS(Checklist!$B$4:$B$50,$A19,Checklist!$K$4:$K$50,"Blocked")</f>
        <v>0</v>
      </c>
      <c r="J19" s="16">
        <f>COUNTIFS(Checklist!$B$4:$B$50,$A19,Checklist!$K$4:$K$50,"N/A")</f>
        <v>0</v>
      </c>
      <c r="K19" s="16">
        <f t="shared" si="0"/>
        <v>0</v>
      </c>
      <c r="L19" s="16">
        <f>COUNTIFS(Checklist!$B$4:$B$50,$A19,Checklist!$J$4:$J$50,"&lt;&gt;Yes",Checklist!$K$4:$K$50,"&lt;&gt;Pass",Checklist!$K$4:$K$50,"&lt;&gt;N/A")</f>
        <v>0</v>
      </c>
      <c r="M19" s="17">
        <f t="shared" si="1"/>
        <v>1</v>
      </c>
      <c r="N19" s="16" t="str">
        <f t="shared" si="2"/>
        <v>Pass</v>
      </c>
    </row>
    <row r="20" spans="1:14" x14ac:dyDescent="0.15">
      <c r="A20" s="15" t="s">
        <v>251</v>
      </c>
      <c r="B20" s="16" t="s">
        <v>252</v>
      </c>
      <c r="C20" s="16" t="s">
        <v>253</v>
      </c>
      <c r="D20" s="16" t="s">
        <v>246</v>
      </c>
      <c r="E20" s="16">
        <f>COUNTIF(Checklist!$B$4:$B$50,$A20)</f>
        <v>3</v>
      </c>
      <c r="F20" s="16">
        <f>COUNTIFS(Checklist!$B$4:$B$50,$A20,Checklist!$J$4:$J$50,"&lt;&gt;Yes")</f>
        <v>3</v>
      </c>
      <c r="G20" s="16">
        <f>COUNTIFS(Checklist!$B$4:$B$50,$A20,Checklist!$K$4:$K$50,"Pass")</f>
        <v>3</v>
      </c>
      <c r="H20" s="16">
        <f>COUNTIFS(Checklist!$B$4:$B$50,$A20,Checklist!$K$4:$K$50,"Fail")</f>
        <v>0</v>
      </c>
      <c r="I20" s="16">
        <f>COUNTIFS(Checklist!$B$4:$B$50,$A20,Checklist!$K$4:$K$50,"Blocked")</f>
        <v>0</v>
      </c>
      <c r="J20" s="16">
        <f>COUNTIFS(Checklist!$B$4:$B$50,$A20,Checklist!$K$4:$K$50,"N/A")</f>
        <v>0</v>
      </c>
      <c r="K20" s="16">
        <f t="shared" si="0"/>
        <v>0</v>
      </c>
      <c r="L20" s="16">
        <f>COUNTIFS(Checklist!$B$4:$B$50,$A20,Checklist!$J$4:$J$50,"&lt;&gt;Yes",Checklist!$K$4:$K$50,"&lt;&gt;Pass",Checklist!$K$4:$K$50,"&lt;&gt;N/A")</f>
        <v>0</v>
      </c>
      <c r="M20" s="17">
        <f t="shared" si="1"/>
        <v>1</v>
      </c>
      <c r="N20" s="16" t="str">
        <f t="shared" si="2"/>
        <v>Pass</v>
      </c>
    </row>
    <row r="21" spans="1:14" x14ac:dyDescent="0.15">
      <c r="A21" s="15" t="s">
        <v>264</v>
      </c>
      <c r="B21" s="16" t="s">
        <v>265</v>
      </c>
      <c r="C21" s="16" t="s">
        <v>266</v>
      </c>
      <c r="D21" s="16" t="s">
        <v>266</v>
      </c>
      <c r="E21" s="16">
        <f>COUNTIF(Checklist!$B$4:$B$50,$A21)</f>
        <v>2</v>
      </c>
      <c r="F21" s="16">
        <f>COUNTIFS(Checklist!$B$4:$B$50,$A21,Checklist!$J$4:$J$50,"&lt;&gt;Yes")</f>
        <v>2</v>
      </c>
      <c r="G21" s="16">
        <f>COUNTIFS(Checklist!$B$4:$B$50,$A21,Checklist!$K$4:$K$50,"Pass")</f>
        <v>2</v>
      </c>
      <c r="H21" s="16">
        <f>COUNTIFS(Checklist!$B$4:$B$50,$A21,Checklist!$K$4:$K$50,"Fail")</f>
        <v>0</v>
      </c>
      <c r="I21" s="16">
        <f>COUNTIFS(Checklist!$B$4:$B$50,$A21,Checklist!$K$4:$K$50,"Blocked")</f>
        <v>0</v>
      </c>
      <c r="J21" s="16">
        <f>COUNTIFS(Checklist!$B$4:$B$50,$A21,Checklist!$K$4:$K$50,"N/A")</f>
        <v>0</v>
      </c>
      <c r="K21" s="16">
        <f t="shared" si="0"/>
        <v>0</v>
      </c>
      <c r="L21" s="16">
        <f>COUNTIFS(Checklist!$B$4:$B$50,$A21,Checklist!$J$4:$J$50,"&lt;&gt;Yes",Checklist!$K$4:$K$50,"&lt;&gt;Pass",Checklist!$K$4:$K$50,"&lt;&gt;N/A")</f>
        <v>0</v>
      </c>
      <c r="M21" s="17">
        <f t="shared" si="1"/>
        <v>1</v>
      </c>
      <c r="N21" s="16" t="str">
        <f t="shared" si="2"/>
        <v>Pass</v>
      </c>
    </row>
    <row r="22" spans="1:14" x14ac:dyDescent="0.15">
      <c r="A22" s="15" t="s">
        <v>274</v>
      </c>
      <c r="B22" s="16" t="s">
        <v>275</v>
      </c>
      <c r="C22" s="16" t="s">
        <v>266</v>
      </c>
      <c r="D22" s="16" t="s">
        <v>266</v>
      </c>
      <c r="E22" s="16">
        <f>COUNTIF(Checklist!$B$4:$B$50,$A22)</f>
        <v>1</v>
      </c>
      <c r="F22" s="16">
        <f>COUNTIFS(Checklist!$B$4:$B$50,$A22,Checklist!$J$4:$J$50,"&lt;&gt;Yes")</f>
        <v>1</v>
      </c>
      <c r="G22" s="16">
        <f>COUNTIFS(Checklist!$B$4:$B$50,$A22,Checklist!$K$4:$K$50,"Pass")</f>
        <v>1</v>
      </c>
      <c r="H22" s="16">
        <f>COUNTIFS(Checklist!$B$4:$B$50,$A22,Checklist!$K$4:$K$50,"Fail")</f>
        <v>0</v>
      </c>
      <c r="I22" s="16">
        <f>COUNTIFS(Checklist!$B$4:$B$50,$A22,Checklist!$K$4:$K$50,"Blocked")</f>
        <v>0</v>
      </c>
      <c r="J22" s="16">
        <f>COUNTIFS(Checklist!$B$4:$B$50,$A22,Checklist!$K$4:$K$50,"N/A")</f>
        <v>0</v>
      </c>
      <c r="K22" s="16">
        <f t="shared" si="0"/>
        <v>0</v>
      </c>
      <c r="L22" s="16">
        <f>COUNTIFS(Checklist!$B$4:$B$50,$A22,Checklist!$J$4:$J$50,"&lt;&gt;Yes",Checklist!$K$4:$K$50,"&lt;&gt;Pass",Checklist!$K$4:$K$50,"&lt;&gt;N/A")</f>
        <v>0</v>
      </c>
      <c r="M22" s="17">
        <f t="shared" si="1"/>
        <v>1</v>
      </c>
      <c r="N22" s="16" t="str">
        <f t="shared" si="2"/>
        <v>Pass</v>
      </c>
    </row>
    <row r="23" spans="1:14" x14ac:dyDescent="0.15">
      <c r="A23" s="15" t="s">
        <v>279</v>
      </c>
      <c r="B23" s="16" t="s">
        <v>280</v>
      </c>
      <c r="C23" s="16" t="s">
        <v>266</v>
      </c>
      <c r="D23" s="16" t="s">
        <v>266</v>
      </c>
      <c r="E23" s="16">
        <f>COUNTIF(Checklist!$B$4:$B$50,$A23)</f>
        <v>1</v>
      </c>
      <c r="F23" s="16">
        <f>COUNTIFS(Checklist!$B$4:$B$50,$A23,Checklist!$J$4:$J$50,"&lt;&gt;Yes")</f>
        <v>1</v>
      </c>
      <c r="G23" s="16">
        <f>COUNTIFS(Checklist!$B$4:$B$50,$A23,Checklist!$K$4:$K$50,"Pass")</f>
        <v>1</v>
      </c>
      <c r="H23" s="16">
        <f>COUNTIFS(Checklist!$B$4:$B$50,$A23,Checklist!$K$4:$K$50,"Fail")</f>
        <v>0</v>
      </c>
      <c r="I23" s="16">
        <f>COUNTIFS(Checklist!$B$4:$B$50,$A23,Checklist!$K$4:$K$50,"Blocked")</f>
        <v>0</v>
      </c>
      <c r="J23" s="16">
        <f>COUNTIFS(Checklist!$B$4:$B$50,$A23,Checklist!$K$4:$K$50,"N/A")</f>
        <v>0</v>
      </c>
      <c r="K23" s="16">
        <f t="shared" si="0"/>
        <v>0</v>
      </c>
      <c r="L23" s="16">
        <f>COUNTIFS(Checklist!$B$4:$B$50,$A23,Checklist!$J$4:$J$50,"&lt;&gt;Yes",Checklist!$K$4:$K$50,"&lt;&gt;Pass",Checklist!$K$4:$K$50,"&lt;&gt;N/A")</f>
        <v>0</v>
      </c>
      <c r="M23" s="17">
        <f t="shared" si="1"/>
        <v>1</v>
      </c>
      <c r="N23" s="16" t="str">
        <f t="shared" si="2"/>
        <v>Pass</v>
      </c>
    </row>
    <row r="24" spans="1:14" x14ac:dyDescent="0.15">
      <c r="A24" s="15" t="s">
        <v>284</v>
      </c>
      <c r="B24" s="16" t="s">
        <v>285</v>
      </c>
      <c r="C24" s="16" t="s">
        <v>266</v>
      </c>
      <c r="D24" s="16" t="s">
        <v>266</v>
      </c>
      <c r="E24" s="16">
        <f>COUNTIF(Checklist!$B$4:$B$50,$A24)</f>
        <v>2</v>
      </c>
      <c r="F24" s="16">
        <f>COUNTIFS(Checklist!$B$4:$B$50,$A24,Checklist!$J$4:$J$50,"&lt;&gt;Yes")</f>
        <v>2</v>
      </c>
      <c r="G24" s="16">
        <f>COUNTIFS(Checklist!$B$4:$B$50,$A24,Checklist!$K$4:$K$50,"Pass")</f>
        <v>2</v>
      </c>
      <c r="H24" s="16">
        <f>COUNTIFS(Checklist!$B$4:$B$50,$A24,Checklist!$K$4:$K$50,"Fail")</f>
        <v>0</v>
      </c>
      <c r="I24" s="16">
        <f>COUNTIFS(Checklist!$B$4:$B$50,$A24,Checklist!$K$4:$K$50,"Blocked")</f>
        <v>0</v>
      </c>
      <c r="J24" s="16">
        <f>COUNTIFS(Checklist!$B$4:$B$50,$A24,Checklist!$K$4:$K$50,"N/A")</f>
        <v>0</v>
      </c>
      <c r="K24" s="16">
        <f t="shared" si="0"/>
        <v>0</v>
      </c>
      <c r="L24" s="16">
        <f>COUNTIFS(Checklist!$B$4:$B$50,$A24,Checklist!$J$4:$J$50,"&lt;&gt;Yes",Checklist!$K$4:$K$50,"&lt;&gt;Pass",Checklist!$K$4:$K$50,"&lt;&gt;N/A")</f>
        <v>0</v>
      </c>
      <c r="M24" s="17">
        <f t="shared" si="1"/>
        <v>1</v>
      </c>
      <c r="N24" s="16" t="str">
        <f t="shared" si="2"/>
        <v>Pass</v>
      </c>
    </row>
    <row r="25" spans="1:14" x14ac:dyDescent="0.15">
      <c r="A25" s="15" t="s">
        <v>291</v>
      </c>
      <c r="B25" s="16" t="s">
        <v>292</v>
      </c>
      <c r="C25" s="16" t="s">
        <v>266</v>
      </c>
      <c r="D25" s="16" t="s">
        <v>266</v>
      </c>
      <c r="E25" s="16">
        <f>COUNTIF(Checklist!$B$4:$B$50,$A25)</f>
        <v>1</v>
      </c>
      <c r="F25" s="16">
        <f>COUNTIFS(Checklist!$B$4:$B$50,$A25,Checklist!$J$4:$J$50,"&lt;&gt;Yes")</f>
        <v>1</v>
      </c>
      <c r="G25" s="16">
        <f>COUNTIFS(Checklist!$B$4:$B$50,$A25,Checklist!$K$4:$K$50,"Pass")</f>
        <v>1</v>
      </c>
      <c r="H25" s="16">
        <f>COUNTIFS(Checklist!$B$4:$B$50,$A25,Checklist!$K$4:$K$50,"Fail")</f>
        <v>0</v>
      </c>
      <c r="I25" s="16">
        <f>COUNTIFS(Checklist!$B$4:$B$50,$A25,Checklist!$K$4:$K$50,"Blocked")</f>
        <v>0</v>
      </c>
      <c r="J25" s="16">
        <f>COUNTIFS(Checklist!$B$4:$B$50,$A25,Checklist!$K$4:$K$50,"N/A")</f>
        <v>0</v>
      </c>
      <c r="K25" s="16">
        <f t="shared" si="0"/>
        <v>0</v>
      </c>
      <c r="L25" s="16">
        <f>COUNTIFS(Checklist!$B$4:$B$50,$A25,Checklist!$J$4:$J$50,"&lt;&gt;Yes",Checklist!$K$4:$K$50,"&lt;&gt;Pass",Checklist!$K$4:$K$50,"&lt;&gt;N/A")</f>
        <v>0</v>
      </c>
      <c r="M25" s="17">
        <f t="shared" si="1"/>
        <v>1</v>
      </c>
      <c r="N25" s="16" t="str">
        <f t="shared" si="2"/>
        <v>Pass</v>
      </c>
    </row>
    <row r="26" spans="1:14" x14ac:dyDescent="0.15">
      <c r="A26" s="15" t="s">
        <v>296</v>
      </c>
      <c r="B26" s="16" t="s">
        <v>297</v>
      </c>
      <c r="C26" s="16" t="s">
        <v>298</v>
      </c>
      <c r="D26" s="16" t="s">
        <v>246</v>
      </c>
      <c r="E26" s="16">
        <f>COUNTIF(Checklist!$B$4:$B$50,$A26)</f>
        <v>3</v>
      </c>
      <c r="F26" s="16">
        <f>COUNTIFS(Checklist!$B$4:$B$50,$A26,Checklist!$J$4:$J$50,"&lt;&gt;Yes")</f>
        <v>3</v>
      </c>
      <c r="G26" s="16">
        <f>COUNTIFS(Checklist!$B$4:$B$50,$A26,Checklist!$K$4:$K$50,"Pass")</f>
        <v>3</v>
      </c>
      <c r="H26" s="16">
        <f>COUNTIFS(Checklist!$B$4:$B$50,$A26,Checklist!$K$4:$K$50,"Fail")</f>
        <v>0</v>
      </c>
      <c r="I26" s="16">
        <f>COUNTIFS(Checklist!$B$4:$B$50,$A26,Checklist!$K$4:$K$50,"Blocked")</f>
        <v>0</v>
      </c>
      <c r="J26" s="16">
        <f>COUNTIFS(Checklist!$B$4:$B$50,$A26,Checklist!$K$4:$K$50,"N/A")</f>
        <v>0</v>
      </c>
      <c r="K26" s="16">
        <f t="shared" si="0"/>
        <v>0</v>
      </c>
      <c r="L26" s="16">
        <f>COUNTIFS(Checklist!$B$4:$B$50,$A26,Checklist!$J$4:$J$50,"&lt;&gt;Yes",Checklist!$K$4:$K$50,"&lt;&gt;Pass",Checklist!$K$4:$K$50,"&lt;&gt;N/A")</f>
        <v>0</v>
      </c>
      <c r="M26" s="17">
        <f t="shared" si="1"/>
        <v>1</v>
      </c>
      <c r="N26" s="16" t="str">
        <f t="shared" si="2"/>
        <v>Pass</v>
      </c>
    </row>
    <row r="27" spans="1:14" x14ac:dyDescent="0.15">
      <c r="A27" s="15" t="s">
        <v>310</v>
      </c>
      <c r="B27" s="16" t="s">
        <v>311</v>
      </c>
      <c r="C27" s="16" t="s">
        <v>168</v>
      </c>
      <c r="D27" s="16" t="s">
        <v>246</v>
      </c>
      <c r="E27" s="16">
        <f>COUNTIF(Checklist!$B$4:$B$50,$A27)</f>
        <v>1</v>
      </c>
      <c r="F27" s="16">
        <f>COUNTIFS(Checklist!$B$4:$B$50,$A27,Checklist!$J$4:$J$50,"&lt;&gt;Yes")</f>
        <v>1</v>
      </c>
      <c r="G27" s="16">
        <f>COUNTIFS(Checklist!$B$4:$B$50,$A27,Checklist!$K$4:$K$50,"Pass")</f>
        <v>1</v>
      </c>
      <c r="H27" s="16">
        <f>COUNTIFS(Checklist!$B$4:$B$50,$A27,Checklist!$K$4:$K$50,"Fail")</f>
        <v>0</v>
      </c>
      <c r="I27" s="16">
        <f>COUNTIFS(Checklist!$B$4:$B$50,$A27,Checklist!$K$4:$K$50,"Blocked")</f>
        <v>0</v>
      </c>
      <c r="J27" s="16">
        <f>COUNTIFS(Checklist!$B$4:$B$50,$A27,Checklist!$K$4:$K$50,"N/A")</f>
        <v>0</v>
      </c>
      <c r="K27" s="16">
        <f t="shared" si="0"/>
        <v>0</v>
      </c>
      <c r="L27" s="16">
        <f>COUNTIFS(Checklist!$B$4:$B$50,$A27,Checklist!$J$4:$J$50,"&lt;&gt;Yes",Checklist!$K$4:$K$50,"&lt;&gt;Pass",Checklist!$K$4:$K$50,"&lt;&gt;N/A")</f>
        <v>0</v>
      </c>
      <c r="M27" s="17">
        <f t="shared" si="1"/>
        <v>1</v>
      </c>
      <c r="N27" s="16" t="str">
        <f t="shared" si="2"/>
        <v>Pass</v>
      </c>
    </row>
    <row r="28" spans="1:14" x14ac:dyDescent="0.15">
      <c r="A28" s="18" t="s">
        <v>322</v>
      </c>
      <c r="B28" s="18" t="s">
        <v>323</v>
      </c>
      <c r="C28" s="18"/>
      <c r="D28" s="18"/>
      <c r="E28" s="18">
        <f t="shared" ref="E28:L28" si="3">SUM(E5:E27)</f>
        <v>44</v>
      </c>
      <c r="F28" s="18">
        <f t="shared" si="3"/>
        <v>41</v>
      </c>
      <c r="G28" s="18">
        <f t="shared" si="3"/>
        <v>43</v>
      </c>
      <c r="H28" s="18">
        <f t="shared" si="3"/>
        <v>0</v>
      </c>
      <c r="I28" s="18">
        <f t="shared" si="3"/>
        <v>0</v>
      </c>
      <c r="J28" s="18">
        <f t="shared" si="3"/>
        <v>0</v>
      </c>
      <c r="K28" s="18">
        <f t="shared" si="3"/>
        <v>1</v>
      </c>
      <c r="L28" s="18">
        <f t="shared" si="3"/>
        <v>1</v>
      </c>
      <c r="M28" s="19">
        <f t="shared" si="1"/>
        <v>0.97727272727272729</v>
      </c>
      <c r="N28" s="18" t="str">
        <f t="shared" si="2"/>
        <v>In progress</v>
      </c>
    </row>
    <row r="30" spans="1:14" ht="15" x14ac:dyDescent="0.25">
      <c r="A30" s="20" t="s">
        <v>324</v>
      </c>
    </row>
    <row r="31" spans="1:14" ht="27.95" customHeight="1" x14ac:dyDescent="0.15">
      <c r="A31" s="6" t="s">
        <v>89</v>
      </c>
      <c r="B31" s="32" t="s">
        <v>325</v>
      </c>
      <c r="C31" s="33"/>
      <c r="D31" s="34"/>
      <c r="E31" s="6" t="s">
        <v>316</v>
      </c>
      <c r="F31" s="6" t="s">
        <v>317</v>
      </c>
      <c r="G31" s="6" t="s">
        <v>19</v>
      </c>
      <c r="H31" s="6" t="s">
        <v>21</v>
      </c>
      <c r="I31" s="6" t="s">
        <v>23</v>
      </c>
      <c r="J31" s="6" t="s">
        <v>27</v>
      </c>
      <c r="K31" s="6" t="s">
        <v>318</v>
      </c>
      <c r="L31" s="6" t="s">
        <v>319</v>
      </c>
      <c r="M31" s="6" t="s">
        <v>320</v>
      </c>
      <c r="N31" s="6" t="s">
        <v>321</v>
      </c>
    </row>
    <row r="32" spans="1:14" x14ac:dyDescent="0.15">
      <c r="A32" s="15" t="s">
        <v>103</v>
      </c>
      <c r="B32" s="30" t="s">
        <v>326</v>
      </c>
      <c r="C32" s="30"/>
      <c r="D32" s="30"/>
      <c r="E32" s="16">
        <f>COUNTIF(Checklist!$E$4:$E$50,$A32)</f>
        <v>15</v>
      </c>
      <c r="F32" s="16">
        <f>COUNTIFS(Checklist!$E$4:$E$50,$A32,Checklist!$J$4:$J$50,"&lt;&gt;Yes")</f>
        <v>14</v>
      </c>
      <c r="G32" s="16">
        <f>COUNTIFS(Checklist!$E$4:$E$50,$A32,Checklist!$K$4:$K$50,"Pass")</f>
        <v>14</v>
      </c>
      <c r="H32" s="16">
        <f>COUNTIFS(Checklist!$E$4:$E$50,$A32,Checklist!$K$4:$K$50,"Fail")</f>
        <v>0</v>
      </c>
      <c r="I32" s="16">
        <f>COUNTIFS(Checklist!$E$4:$E$50,$A32,Checklist!$K$4:$K$50,"Blocked")</f>
        <v>0</v>
      </c>
      <c r="J32" s="16">
        <f>COUNTIFS(Checklist!$E$4:$E$50,$A32,Checklist!$K$4:$K$50,"N/A")</f>
        <v>0</v>
      </c>
      <c r="K32" s="16">
        <f>E32-G32-H32-I32-J32</f>
        <v>1</v>
      </c>
      <c r="L32" s="16">
        <f>COUNTIFS(Checklist!$E$4:$E$50,$A32,Checklist!$J$4:$J$50,"&lt;&gt;Yes",Checklist!$K$4:$K$50,"&lt;&gt;Pass",Checklist!$K$4:$K$50,"&lt;&gt;N/A")</f>
        <v>1</v>
      </c>
      <c r="M32" s="17">
        <f>IF(E32=0,0,(G32+H32+I32+J32)/E32)</f>
        <v>0.93333333333333335</v>
      </c>
      <c r="N32" s="16" t="str">
        <f>IF(H32&gt;0,"Fail",IF(I32&gt;0,"Blocked",IF(G32+H32+I32+J32=0,IF(F32=0,"Optional","Not started"),IF(L32=0,"Pass","In progress"))))</f>
        <v>In progress</v>
      </c>
    </row>
    <row r="33" spans="1:14" x14ac:dyDescent="0.15">
      <c r="A33" s="15" t="s">
        <v>176</v>
      </c>
      <c r="B33" s="30" t="s">
        <v>327</v>
      </c>
      <c r="C33" s="30"/>
      <c r="D33" s="30"/>
      <c r="E33" s="16">
        <f>COUNTIF(Checklist!$E$4:$E$50,$A33)</f>
        <v>14</v>
      </c>
      <c r="F33" s="16">
        <f>COUNTIFS(Checklist!$E$4:$E$50,$A33,Checklist!$J$4:$J$50,"&lt;&gt;Yes")</f>
        <v>12</v>
      </c>
      <c r="G33" s="16">
        <f>COUNTIFS(Checklist!$E$4:$E$50,$A33,Checklist!$K$4:$K$50,"Pass")</f>
        <v>14</v>
      </c>
      <c r="H33" s="16">
        <f>COUNTIFS(Checklist!$E$4:$E$50,$A33,Checklist!$K$4:$K$50,"Fail")</f>
        <v>0</v>
      </c>
      <c r="I33" s="16">
        <f>COUNTIFS(Checklist!$E$4:$E$50,$A33,Checklist!$K$4:$K$50,"Blocked")</f>
        <v>0</v>
      </c>
      <c r="J33" s="16">
        <f>COUNTIFS(Checklist!$E$4:$E$50,$A33,Checklist!$K$4:$K$50,"N/A")</f>
        <v>0</v>
      </c>
      <c r="K33" s="16">
        <f>E33-G33-H33-I33-J33</f>
        <v>0</v>
      </c>
      <c r="L33" s="16">
        <f>COUNTIFS(Checklist!$E$4:$E$50,$A33,Checklist!$J$4:$J$50,"&lt;&gt;Yes",Checklist!$K$4:$K$50,"&lt;&gt;Pass",Checklist!$K$4:$K$50,"&lt;&gt;N/A")</f>
        <v>0</v>
      </c>
      <c r="M33" s="17">
        <f>IF(E33=0,0,(G33+H33+I33+J33)/E33)</f>
        <v>1</v>
      </c>
      <c r="N33" s="16" t="str">
        <f>IF(H33&gt;0,"Fail",IF(I33&gt;0,"Blocked",IF(G33+H33+I33+J33=0,IF(F33=0,"Optional","Not started"),IF(L33=0,"Pass","In progress"))))</f>
        <v>Pass</v>
      </c>
    </row>
    <row r="34" spans="1:14" x14ac:dyDescent="0.15">
      <c r="A34" s="15" t="s">
        <v>266</v>
      </c>
      <c r="B34" s="30" t="s">
        <v>328</v>
      </c>
      <c r="C34" s="30"/>
      <c r="D34" s="30"/>
      <c r="E34" s="16">
        <f>COUNTIF(Checklist!$E$4:$E$50,$A34)</f>
        <v>7</v>
      </c>
      <c r="F34" s="16">
        <f>COUNTIFS(Checklist!$E$4:$E$50,$A34,Checklist!$J$4:$J$50,"&lt;&gt;Yes")</f>
        <v>7</v>
      </c>
      <c r="G34" s="16">
        <f>COUNTIFS(Checklist!$E$4:$E$50,$A34,Checklist!$K$4:$K$50,"Pass")</f>
        <v>7</v>
      </c>
      <c r="H34" s="16">
        <f>COUNTIFS(Checklist!$E$4:$E$50,$A34,Checklist!$K$4:$K$50,"Fail")</f>
        <v>0</v>
      </c>
      <c r="I34" s="16">
        <f>COUNTIFS(Checklist!$E$4:$E$50,$A34,Checklist!$K$4:$K$50,"Blocked")</f>
        <v>0</v>
      </c>
      <c r="J34" s="16">
        <f>COUNTIFS(Checklist!$E$4:$E$50,$A34,Checklist!$K$4:$K$50,"N/A")</f>
        <v>0</v>
      </c>
      <c r="K34" s="16">
        <f>E34-G34-H34-I34-J34</f>
        <v>0</v>
      </c>
      <c r="L34" s="16">
        <f>COUNTIFS(Checklist!$E$4:$E$50,$A34,Checklist!$J$4:$J$50,"&lt;&gt;Yes",Checklist!$K$4:$K$50,"&lt;&gt;Pass",Checklist!$K$4:$K$50,"&lt;&gt;N/A")</f>
        <v>0</v>
      </c>
      <c r="M34" s="17">
        <f>IF(E34=0,0,(G34+H34+I34+J34)/E34)</f>
        <v>1</v>
      </c>
      <c r="N34" s="16" t="str">
        <f>IF(H34&gt;0,"Fail",IF(I34&gt;0,"Blocked",IF(G34+H34+I34+J34=0,IF(F34=0,"Optional","Not started"),IF(L34=0,"Pass","In progress"))))</f>
        <v>Pass</v>
      </c>
    </row>
    <row r="35" spans="1:14" x14ac:dyDescent="0.15">
      <c r="A35" s="15" t="s">
        <v>246</v>
      </c>
      <c r="B35" s="30" t="s">
        <v>329</v>
      </c>
      <c r="C35" s="30"/>
      <c r="D35" s="30"/>
      <c r="E35" s="16">
        <f>COUNTIF(Checklist!$E$4:$E$50,$A35)</f>
        <v>8</v>
      </c>
      <c r="F35" s="16">
        <f>COUNTIFS(Checklist!$E$4:$E$50,$A35,Checklist!$J$4:$J$50,"&lt;&gt;Yes")</f>
        <v>8</v>
      </c>
      <c r="G35" s="16">
        <f>COUNTIFS(Checklist!$E$4:$E$50,$A35,Checklist!$K$4:$K$50,"Pass")</f>
        <v>8</v>
      </c>
      <c r="H35" s="16">
        <f>COUNTIFS(Checklist!$E$4:$E$50,$A35,Checklist!$K$4:$K$50,"Fail")</f>
        <v>0</v>
      </c>
      <c r="I35" s="16">
        <f>COUNTIFS(Checklist!$E$4:$E$50,$A35,Checklist!$K$4:$K$50,"Blocked")</f>
        <v>0</v>
      </c>
      <c r="J35" s="16">
        <f>COUNTIFS(Checklist!$E$4:$E$50,$A35,Checklist!$K$4:$K$50,"N/A")</f>
        <v>0</v>
      </c>
      <c r="K35" s="16">
        <f>E35-G35-H35-I35-J35</f>
        <v>0</v>
      </c>
      <c r="L35" s="16">
        <f>COUNTIFS(Checklist!$E$4:$E$50,$A35,Checklist!$J$4:$J$50,"&lt;&gt;Yes",Checklist!$K$4:$K$50,"&lt;&gt;Pass",Checklist!$K$4:$K$50,"&lt;&gt;N/A")</f>
        <v>0</v>
      </c>
      <c r="M35" s="17">
        <f>IF(E35=0,0,(G35+H35+I35+J35)/E35)</f>
        <v>1</v>
      </c>
      <c r="N35" s="16" t="str">
        <f>IF(H35&gt;0,"Fail",IF(I35&gt;0,"Blocked",IF(G35+H35+I35+J35=0,IF(F35=0,"Optional","Not started"),IF(L35=0,"Pass","In progress"))))</f>
        <v>Pass</v>
      </c>
    </row>
    <row r="37" spans="1:14" ht="14.25" x14ac:dyDescent="0.2">
      <c r="A37" s="31" t="s">
        <v>330</v>
      </c>
      <c r="B37" s="26"/>
      <c r="C37" s="26"/>
      <c r="D37" s="26"/>
      <c r="E37" s="21">
        <f>E28-SUM(E32:E35)</f>
        <v>0</v>
      </c>
    </row>
  </sheetData>
  <mergeCells count="8">
    <mergeCell ref="A1:N1"/>
    <mergeCell ref="B33:D33"/>
    <mergeCell ref="A37:D37"/>
    <mergeCell ref="B31:D31"/>
    <mergeCell ref="B32:D32"/>
    <mergeCell ref="A2:N2"/>
    <mergeCell ref="B35:D35"/>
    <mergeCell ref="B34:D34"/>
  </mergeCells>
  <phoneticPr fontId="12"/>
  <conditionalFormatting sqref="N5:N28">
    <cfRule type="expression" dxfId="12" priority="1">
      <formula>$N5="Pass"</formula>
    </cfRule>
    <cfRule type="expression" dxfId="11" priority="2">
      <formula>$N5="Fail"</formula>
    </cfRule>
    <cfRule type="expression" dxfId="10" priority="3">
      <formula>$N5="Blocked"</formula>
    </cfRule>
    <cfRule type="expression" dxfId="9" priority="4">
      <formula>$N5="In progress"</formula>
    </cfRule>
    <cfRule type="expression" dxfId="8" priority="5">
      <formula>$N5="Optional"</formula>
    </cfRule>
  </conditionalFormatting>
  <conditionalFormatting sqref="N32:N35">
    <cfRule type="expression" dxfId="7" priority="6">
      <formula>$N32="Pass"</formula>
    </cfRule>
    <cfRule type="expression" dxfId="6" priority="7">
      <formula>$N32="Fail"</formula>
    </cfRule>
    <cfRule type="expression" dxfId="5" priority="8">
      <formula>$N32="Blocked"</formula>
    </cfRule>
    <cfRule type="expression" dxfId="4" priority="9">
      <formula>$N32="In progress"</formula>
    </cfRule>
    <cfRule type="expression" dxfId="3" priority="10">
      <formula>$N32="Optional"</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pane xSplit="1" ySplit="4" topLeftCell="B5" activePane="bottomRight" state="frozen"/>
      <selection pane="topRight"/>
      <selection pane="bottomLeft"/>
      <selection pane="bottomRight" sqref="A1:G1"/>
    </sheetView>
  </sheetViews>
  <sheetFormatPr defaultRowHeight="13.5" x14ac:dyDescent="0.15"/>
  <cols>
    <col min="1" max="1" width="6" customWidth="1"/>
    <col min="2" max="2" width="16" customWidth="1"/>
    <col min="3" max="3" width="36" customWidth="1"/>
    <col min="4" max="4" width="46" customWidth="1"/>
    <col min="5" max="5" width="28" customWidth="1"/>
    <col min="6" max="6" width="50" customWidth="1"/>
    <col min="7" max="7" width="10" customWidth="1"/>
  </cols>
  <sheetData>
    <row r="1" spans="1:7" ht="18" x14ac:dyDescent="0.25">
      <c r="A1" s="29" t="s">
        <v>331</v>
      </c>
      <c r="B1" s="26"/>
      <c r="C1" s="26"/>
      <c r="D1" s="26"/>
      <c r="E1" s="26"/>
      <c r="F1" s="26"/>
      <c r="G1" s="26"/>
    </row>
    <row r="2" spans="1:7" ht="27.95" customHeight="1" x14ac:dyDescent="0.15">
      <c r="A2" s="35" t="s">
        <v>332</v>
      </c>
      <c r="B2" s="26"/>
      <c r="C2" s="26"/>
      <c r="D2" s="26"/>
      <c r="E2" s="26"/>
      <c r="F2" s="26"/>
      <c r="G2" s="26"/>
    </row>
    <row r="4" spans="1:7" x14ac:dyDescent="0.15">
      <c r="A4" s="6" t="s">
        <v>85</v>
      </c>
      <c r="B4" s="6" t="s">
        <v>333</v>
      </c>
      <c r="C4" s="6" t="s">
        <v>334</v>
      </c>
      <c r="D4" s="6" t="s">
        <v>335</v>
      </c>
      <c r="E4" s="6" t="s">
        <v>336</v>
      </c>
      <c r="F4" s="6" t="s">
        <v>337</v>
      </c>
      <c r="G4" s="6" t="s">
        <v>338</v>
      </c>
    </row>
    <row r="5" spans="1:7" ht="25.5" x14ac:dyDescent="0.15">
      <c r="A5" s="15" t="s">
        <v>339</v>
      </c>
      <c r="B5" s="16" t="s">
        <v>340</v>
      </c>
      <c r="C5" s="16" t="s">
        <v>341</v>
      </c>
      <c r="D5" s="16" t="s">
        <v>342</v>
      </c>
      <c r="E5" s="16" t="s">
        <v>343</v>
      </c>
      <c r="F5" s="16" t="s">
        <v>344</v>
      </c>
      <c r="G5" s="22"/>
    </row>
    <row r="6" spans="1:7" ht="25.5" x14ac:dyDescent="0.15">
      <c r="A6" s="15" t="s">
        <v>345</v>
      </c>
      <c r="B6" s="16" t="s">
        <v>346</v>
      </c>
      <c r="C6" s="16" t="s">
        <v>347</v>
      </c>
      <c r="D6" s="16" t="s">
        <v>348</v>
      </c>
      <c r="E6" s="16" t="s">
        <v>349</v>
      </c>
      <c r="F6" s="16" t="s">
        <v>350</v>
      </c>
      <c r="G6" s="22"/>
    </row>
    <row r="7" spans="1:7" ht="51" x14ac:dyDescent="0.15">
      <c r="A7" s="15" t="s">
        <v>351</v>
      </c>
      <c r="B7" s="16" t="s">
        <v>352</v>
      </c>
      <c r="C7" s="16" t="s">
        <v>353</v>
      </c>
      <c r="D7" s="16" t="s">
        <v>354</v>
      </c>
      <c r="E7" s="16" t="s">
        <v>355</v>
      </c>
      <c r="F7" s="16" t="s">
        <v>356</v>
      </c>
      <c r="G7" s="22"/>
    </row>
    <row r="8" spans="1:7" ht="25.5" x14ac:dyDescent="0.15">
      <c r="A8" s="15" t="s">
        <v>169</v>
      </c>
      <c r="B8" s="16" t="s">
        <v>357</v>
      </c>
      <c r="C8" s="16" t="s">
        <v>358</v>
      </c>
      <c r="D8" s="16" t="s">
        <v>359</v>
      </c>
      <c r="E8" s="16" t="s">
        <v>360</v>
      </c>
      <c r="F8" s="16" t="s">
        <v>361</v>
      </c>
      <c r="G8" s="23"/>
    </row>
    <row r="9" spans="1:7" x14ac:dyDescent="0.15">
      <c r="A9" s="15" t="s">
        <v>169</v>
      </c>
      <c r="B9" s="16" t="s">
        <v>357</v>
      </c>
      <c r="C9" s="16" t="s">
        <v>362</v>
      </c>
      <c r="D9" s="16" t="s">
        <v>363</v>
      </c>
      <c r="E9" s="16" t="s">
        <v>360</v>
      </c>
      <c r="F9" s="16" t="s">
        <v>364</v>
      </c>
      <c r="G9" s="23"/>
    </row>
    <row r="11" spans="1:7" ht="14.25" x14ac:dyDescent="0.2">
      <c r="A11" s="36" t="s">
        <v>365</v>
      </c>
      <c r="B11" s="26"/>
      <c r="C11" s="26"/>
      <c r="D11" s="21">
        <f>COUNTIF(A5:A9,"K*")-COUNTIFS(A5:A9,"K*",G5:G9,"Yes")</f>
        <v>3</v>
      </c>
      <c r="E11" s="5" t="s">
        <v>366</v>
      </c>
    </row>
  </sheetData>
  <mergeCells count="3">
    <mergeCell ref="A11:C11"/>
    <mergeCell ref="A2:G2"/>
    <mergeCell ref="A1:G1"/>
  </mergeCells>
  <phoneticPr fontId="12"/>
  <conditionalFormatting sqref="G5:G9">
    <cfRule type="expression" dxfId="2" priority="1">
      <formula>$G5="Yes"</formula>
    </cfRule>
    <cfRule type="expression" dxfId="1" priority="2">
      <formula>$G5="No"</formula>
    </cfRule>
    <cfRule type="expression" dxfId="0" priority="3">
      <formula>$G5="N/A"</formula>
    </cfRule>
  </conditionalFormatting>
  <dataValidations count="1">
    <dataValidation type="list" allowBlank="1" sqref="G5:G9" xr:uid="{00000000-0002-0000-0300-000000000000}">
      <formula1>"Yes,No,N/A"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9"/>
  <sheetViews>
    <sheetView workbookViewId="0">
      <selection activeCell="A40" sqref="A40"/>
    </sheetView>
  </sheetViews>
  <sheetFormatPr defaultRowHeight="13.5" x14ac:dyDescent="0.15"/>
  <cols>
    <col min="1" max="1" width="64" customWidth="1"/>
    <col min="2" max="2" width="12" customWidth="1"/>
    <col min="3" max="3" width="60" customWidth="1"/>
  </cols>
  <sheetData>
    <row r="1" spans="1:3" ht="18" x14ac:dyDescent="0.25">
      <c r="A1" s="29" t="s">
        <v>367</v>
      </c>
      <c r="B1" s="26"/>
      <c r="C1" s="26"/>
    </row>
    <row r="3" spans="1:3" ht="15" x14ac:dyDescent="0.25">
      <c r="A3" s="20" t="s">
        <v>368</v>
      </c>
    </row>
    <row r="4" spans="1:3" ht="14.25" x14ac:dyDescent="0.2">
      <c r="A4" s="24" t="s">
        <v>369</v>
      </c>
      <c r="B4" s="24" t="s">
        <v>85</v>
      </c>
      <c r="C4" s="24" t="s">
        <v>370</v>
      </c>
    </row>
    <row r="5" spans="1:3" x14ac:dyDescent="0.15">
      <c r="A5" s="16" t="s">
        <v>371</v>
      </c>
      <c r="B5" s="15" t="s">
        <v>176</v>
      </c>
      <c r="C5" s="16" t="s">
        <v>372</v>
      </c>
    </row>
    <row r="6" spans="1:3" ht="38.25" x14ac:dyDescent="0.15">
      <c r="A6" s="16" t="s">
        <v>373</v>
      </c>
      <c r="B6" s="15" t="s">
        <v>238</v>
      </c>
      <c r="C6" s="16" t="s">
        <v>374</v>
      </c>
    </row>
    <row r="7" spans="1:3" ht="25.5" x14ac:dyDescent="0.15">
      <c r="A7" s="16" t="s">
        <v>375</v>
      </c>
      <c r="B7" s="15" t="s">
        <v>376</v>
      </c>
      <c r="C7" s="16" t="s">
        <v>377</v>
      </c>
    </row>
    <row r="8" spans="1:3" ht="25.5" x14ac:dyDescent="0.15">
      <c r="A8" s="16" t="s">
        <v>378</v>
      </c>
      <c r="B8" s="15" t="s">
        <v>176</v>
      </c>
      <c r="C8" s="16" t="s">
        <v>379</v>
      </c>
    </row>
    <row r="9" spans="1:3" ht="25.5" x14ac:dyDescent="0.15">
      <c r="A9" s="16" t="s">
        <v>380</v>
      </c>
      <c r="B9" s="15" t="s">
        <v>169</v>
      </c>
      <c r="C9" s="16" t="s">
        <v>381</v>
      </c>
    </row>
    <row r="10" spans="1:3" ht="25.5" x14ac:dyDescent="0.15">
      <c r="A10" s="16" t="s">
        <v>382</v>
      </c>
      <c r="B10" s="15" t="s">
        <v>383</v>
      </c>
      <c r="C10" s="16" t="s">
        <v>384</v>
      </c>
    </row>
    <row r="11" spans="1:3" x14ac:dyDescent="0.15">
      <c r="A11" s="16" t="s">
        <v>385</v>
      </c>
      <c r="B11" s="15" t="s">
        <v>266</v>
      </c>
      <c r="C11" s="16" t="s">
        <v>386</v>
      </c>
    </row>
    <row r="12" spans="1:3" x14ac:dyDescent="0.15">
      <c r="A12" s="16" t="s">
        <v>387</v>
      </c>
      <c r="B12" s="15" t="s">
        <v>388</v>
      </c>
      <c r="C12" s="16" t="s">
        <v>389</v>
      </c>
    </row>
    <row r="13" spans="1:3" ht="25.5" x14ac:dyDescent="0.15">
      <c r="A13" s="16" t="s">
        <v>390</v>
      </c>
      <c r="B13" s="15" t="s">
        <v>391</v>
      </c>
      <c r="C13" s="16" t="s">
        <v>392</v>
      </c>
    </row>
    <row r="14" spans="1:3" ht="25.5" x14ac:dyDescent="0.15">
      <c r="A14" s="16" t="s">
        <v>393</v>
      </c>
      <c r="B14" s="15" t="s">
        <v>169</v>
      </c>
      <c r="C14" s="16" t="s">
        <v>394</v>
      </c>
    </row>
    <row r="15" spans="1:3" x14ac:dyDescent="0.15">
      <c r="A15" s="16" t="s">
        <v>395</v>
      </c>
      <c r="B15" s="15" t="s">
        <v>396</v>
      </c>
      <c r="C15" s="16" t="s">
        <v>397</v>
      </c>
    </row>
    <row r="16" spans="1:3" x14ac:dyDescent="0.15">
      <c r="A16" s="16" t="s">
        <v>398</v>
      </c>
      <c r="B16" s="15" t="s">
        <v>399</v>
      </c>
      <c r="C16" s="16" t="s">
        <v>400</v>
      </c>
    </row>
    <row r="17" spans="1:3" x14ac:dyDescent="0.15">
      <c r="A17" s="16" t="s">
        <v>401</v>
      </c>
      <c r="B17" s="15" t="s">
        <v>402</v>
      </c>
      <c r="C17" s="16" t="s">
        <v>403</v>
      </c>
    </row>
    <row r="18" spans="1:3" x14ac:dyDescent="0.15">
      <c r="A18" s="16" t="s">
        <v>404</v>
      </c>
      <c r="B18" s="15" t="s">
        <v>405</v>
      </c>
      <c r="C18" s="16" t="s">
        <v>406</v>
      </c>
    </row>
    <row r="19" spans="1:3" x14ac:dyDescent="0.15">
      <c r="A19" s="16" t="s">
        <v>407</v>
      </c>
      <c r="B19" s="15" t="s">
        <v>169</v>
      </c>
      <c r="C19" s="16" t="s">
        <v>408</v>
      </c>
    </row>
    <row r="20" spans="1:3" x14ac:dyDescent="0.15">
      <c r="A20" s="16" t="s">
        <v>409</v>
      </c>
      <c r="B20" s="15" t="s">
        <v>410</v>
      </c>
      <c r="C20" s="16" t="s">
        <v>379</v>
      </c>
    </row>
    <row r="21" spans="1:3" x14ac:dyDescent="0.15">
      <c r="A21" s="16" t="s">
        <v>411</v>
      </c>
      <c r="B21" s="15" t="s">
        <v>412</v>
      </c>
      <c r="C21" s="16" t="s">
        <v>413</v>
      </c>
    </row>
    <row r="22" spans="1:3" x14ac:dyDescent="0.15">
      <c r="A22" s="16" t="s">
        <v>414</v>
      </c>
      <c r="B22" s="15" t="s">
        <v>415</v>
      </c>
      <c r="C22" s="16" t="s">
        <v>416</v>
      </c>
    </row>
    <row r="23" spans="1:3" x14ac:dyDescent="0.15">
      <c r="A23" s="16" t="s">
        <v>417</v>
      </c>
      <c r="B23" s="15" t="s">
        <v>169</v>
      </c>
      <c r="C23" s="16" t="s">
        <v>418</v>
      </c>
    </row>
    <row r="24" spans="1:3" ht="25.5" x14ac:dyDescent="0.15">
      <c r="A24" s="16" t="s">
        <v>419</v>
      </c>
      <c r="B24" s="15" t="s">
        <v>420</v>
      </c>
      <c r="C24" s="16" t="s">
        <v>421</v>
      </c>
    </row>
    <row r="25" spans="1:3" ht="25.5" x14ac:dyDescent="0.15">
      <c r="A25" s="16" t="s">
        <v>422</v>
      </c>
      <c r="B25" s="15" t="s">
        <v>423</v>
      </c>
      <c r="C25" s="16" t="s">
        <v>424</v>
      </c>
    </row>
    <row r="27" spans="1:3" ht="15" x14ac:dyDescent="0.25">
      <c r="A27" s="20" t="s">
        <v>425</v>
      </c>
    </row>
    <row r="28" spans="1:3" ht="14.25" x14ac:dyDescent="0.2">
      <c r="A28" s="24" t="s">
        <v>369</v>
      </c>
      <c r="B28" s="24" t="s">
        <v>85</v>
      </c>
      <c r="C28" s="24" t="s">
        <v>426</v>
      </c>
    </row>
    <row r="29" spans="1:3" x14ac:dyDescent="0.15">
      <c r="A29" s="16" t="s">
        <v>427</v>
      </c>
      <c r="B29" s="15" t="s">
        <v>158</v>
      </c>
      <c r="C29" s="16" t="s">
        <v>428</v>
      </c>
    </row>
    <row r="30" spans="1:3" x14ac:dyDescent="0.15">
      <c r="A30" s="16" t="s">
        <v>429</v>
      </c>
      <c r="B30" s="15" t="s">
        <v>158</v>
      </c>
      <c r="C30" s="16" t="s">
        <v>430</v>
      </c>
    </row>
    <row r="31" spans="1:3" x14ac:dyDescent="0.15">
      <c r="A31" s="16" t="s">
        <v>431</v>
      </c>
      <c r="B31" s="15" t="s">
        <v>131</v>
      </c>
      <c r="C31" s="16" t="s">
        <v>128</v>
      </c>
    </row>
    <row r="32" spans="1:3" x14ac:dyDescent="0.15">
      <c r="A32" s="16" t="s">
        <v>432</v>
      </c>
      <c r="B32" s="15" t="s">
        <v>131</v>
      </c>
      <c r="C32" s="16" t="s">
        <v>134</v>
      </c>
    </row>
    <row r="33" spans="1:3" ht="25.5" x14ac:dyDescent="0.15">
      <c r="A33" s="16" t="s">
        <v>433</v>
      </c>
      <c r="B33" s="15" t="s">
        <v>434</v>
      </c>
      <c r="C33" s="16" t="s">
        <v>207</v>
      </c>
    </row>
    <row r="34" spans="1:3" x14ac:dyDescent="0.15">
      <c r="A34" s="16" t="s">
        <v>435</v>
      </c>
      <c r="B34" s="15" t="s">
        <v>436</v>
      </c>
      <c r="C34" s="16" t="s">
        <v>204</v>
      </c>
    </row>
    <row r="35" spans="1:3" ht="25.5" x14ac:dyDescent="0.15">
      <c r="A35" s="16" t="s">
        <v>437</v>
      </c>
      <c r="B35" s="15" t="s">
        <v>438</v>
      </c>
      <c r="C35" s="16" t="s">
        <v>439</v>
      </c>
    </row>
    <row r="36" spans="1:3" x14ac:dyDescent="0.15">
      <c r="A36" s="16" t="s">
        <v>440</v>
      </c>
      <c r="B36" s="15" t="s">
        <v>441</v>
      </c>
      <c r="C36" s="16" t="s">
        <v>430</v>
      </c>
    </row>
    <row r="38" spans="1:3" x14ac:dyDescent="0.15">
      <c r="A38" s="39" t="s">
        <v>447</v>
      </c>
    </row>
    <row r="39" spans="1:3" ht="25.5" x14ac:dyDescent="0.15">
      <c r="A39" s="39" t="s">
        <v>448</v>
      </c>
    </row>
  </sheetData>
  <mergeCells count="1">
    <mergeCell ref="A1:C1"/>
  </mergeCells>
  <phoneticPr fontId="1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Read me</vt:lpstr>
      <vt:lpstr>Checklist</vt:lpstr>
      <vt:lpstr>Summary</vt:lpstr>
      <vt:lpstr>Clean-up</vt:lpstr>
      <vt:lpstr>Known issues</vt:lpstr>
      <vt:lpstr>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コンスタンティン ミハイロフ</cp:lastModifiedBy>
  <dcterms:created xsi:type="dcterms:W3CDTF">2026-10-22T06:07:33Z</dcterms:created>
  <dcterms:modified xsi:type="dcterms:W3CDTF">2026-10-22T11:11:42Z</dcterms:modified>
</cp:coreProperties>
</file>