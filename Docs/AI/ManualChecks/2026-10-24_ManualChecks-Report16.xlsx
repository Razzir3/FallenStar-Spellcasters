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Lesson\FallenStar-Spellcasters\Docs\AI\ManualChecks\"/>
    </mc:Choice>
  </mc:AlternateContent>
  <xr:revisionPtr revIDLastSave="0" documentId="13_ncr:1_{DEAE47CC-8369-48DA-90D7-48BCF4328F79}" xr6:coauthVersionLast="47" xr6:coauthVersionMax="47" xr10:uidLastSave="{00000000-0000-0000-0000-000000000000}"/>
  <bookViews>
    <workbookView xWindow="-1200" yWindow="11895" windowWidth="38700" windowHeight="17145" activeTab="1" xr2:uid="{00000000-000D-0000-FFFF-FFFF00000000}"/>
  </bookViews>
  <sheets>
    <sheet name="Read me" sheetId="1" r:id="rId1"/>
    <sheet name="Checklist" sheetId="2" r:id="rId2"/>
    <sheet name="Summary" sheetId="3" r:id="rId3"/>
    <sheet name="Known issues" sheetId="4" r:id="rId4"/>
  </sheets>
  <definedNames>
    <definedName name="_xlnm._FilterDatabase" localSheetId="1" hidden="1">Checklist!$A$3:$N$39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" l="1"/>
  <c r="I17" i="3"/>
  <c r="H17" i="3"/>
  <c r="G17" i="3"/>
  <c r="F17" i="3"/>
  <c r="L17" i="3" s="1"/>
  <c r="E17" i="3"/>
  <c r="J16" i="3"/>
  <c r="I16" i="3"/>
  <c r="H16" i="3"/>
  <c r="G16" i="3"/>
  <c r="F16" i="3"/>
  <c r="L16" i="3" s="1"/>
  <c r="E16" i="3"/>
  <c r="J15" i="3"/>
  <c r="I15" i="3"/>
  <c r="H15" i="3"/>
  <c r="G15" i="3"/>
  <c r="F15" i="3"/>
  <c r="L15" i="3" s="1"/>
  <c r="E15" i="3"/>
  <c r="J14" i="3"/>
  <c r="I14" i="3"/>
  <c r="H14" i="3"/>
  <c r="G14" i="3"/>
  <c r="F14" i="3"/>
  <c r="L14" i="3" s="1"/>
  <c r="E14" i="3"/>
  <c r="J13" i="3"/>
  <c r="I13" i="3"/>
  <c r="H13" i="3"/>
  <c r="G13" i="3"/>
  <c r="F13" i="3"/>
  <c r="L13" i="3" s="1"/>
  <c r="E13" i="3"/>
  <c r="J12" i="3"/>
  <c r="I12" i="3"/>
  <c r="H12" i="3"/>
  <c r="G12" i="3"/>
  <c r="F12" i="3"/>
  <c r="L12" i="3" s="1"/>
  <c r="E12" i="3"/>
  <c r="J11" i="3"/>
  <c r="I11" i="3"/>
  <c r="H11" i="3"/>
  <c r="G11" i="3"/>
  <c r="F11" i="3"/>
  <c r="L11" i="3" s="1"/>
  <c r="E11" i="3"/>
  <c r="J10" i="3"/>
  <c r="I10" i="3"/>
  <c r="H10" i="3"/>
  <c r="G10" i="3"/>
  <c r="F10" i="3"/>
  <c r="L10" i="3" s="1"/>
  <c r="E10" i="3"/>
  <c r="J9" i="3"/>
  <c r="I9" i="3"/>
  <c r="H9" i="3"/>
  <c r="G9" i="3"/>
  <c r="F9" i="3"/>
  <c r="L9" i="3" s="1"/>
  <c r="E9" i="3"/>
  <c r="J8" i="3"/>
  <c r="I8" i="3"/>
  <c r="H8" i="3"/>
  <c r="G8" i="3"/>
  <c r="F8" i="3"/>
  <c r="L8" i="3" s="1"/>
  <c r="E8" i="3"/>
  <c r="J7" i="3"/>
  <c r="I7" i="3"/>
  <c r="H7" i="3"/>
  <c r="G7" i="3"/>
  <c r="F7" i="3"/>
  <c r="L7" i="3" s="1"/>
  <c r="E7" i="3"/>
  <c r="J6" i="3"/>
  <c r="I6" i="3"/>
  <c r="H6" i="3"/>
  <c r="G6" i="3"/>
  <c r="F6" i="3"/>
  <c r="L6" i="3" s="1"/>
  <c r="E6" i="3"/>
  <c r="J5" i="3"/>
  <c r="I5" i="3"/>
  <c r="H5" i="3"/>
  <c r="G5" i="3"/>
  <c r="F5" i="3"/>
  <c r="E5" i="3"/>
  <c r="G19" i="3" l="1"/>
  <c r="N14" i="3"/>
  <c r="I19" i="3"/>
  <c r="J19" i="3"/>
  <c r="M17" i="3"/>
  <c r="K17" i="3"/>
  <c r="M16" i="3"/>
  <c r="K16" i="3"/>
  <c r="M15" i="3"/>
  <c r="K15" i="3"/>
  <c r="K14" i="3"/>
  <c r="M14" i="3"/>
  <c r="M13" i="3"/>
  <c r="K13" i="3"/>
  <c r="M12" i="3"/>
  <c r="K12" i="3"/>
  <c r="K11" i="3"/>
  <c r="M11" i="3"/>
  <c r="M10" i="3"/>
  <c r="K10" i="3"/>
  <c r="M9" i="3"/>
  <c r="K9" i="3"/>
  <c r="M8" i="3"/>
  <c r="K8" i="3"/>
  <c r="M7" i="3"/>
  <c r="K7" i="3"/>
  <c r="M6" i="3"/>
  <c r="K6" i="3"/>
  <c r="H19" i="3"/>
  <c r="F19" i="3"/>
  <c r="L5" i="3"/>
  <c r="E19" i="3"/>
  <c r="M5" i="3"/>
  <c r="K5" i="3"/>
  <c r="N9" i="3"/>
  <c r="N8" i="3"/>
  <c r="N16" i="3"/>
  <c r="N13" i="3"/>
  <c r="N12" i="3"/>
  <c r="N10" i="3"/>
  <c r="N11" i="3"/>
  <c r="N7" i="3"/>
  <c r="N6" i="3"/>
  <c r="N17" i="3"/>
  <c r="N15" i="3"/>
  <c r="M19" i="3" l="1"/>
  <c r="K19" i="3"/>
  <c r="L19" i="3"/>
  <c r="N19" i="3" s="1"/>
  <c r="N5" i="3"/>
</calcChain>
</file>

<file path=xl/sharedStrings.xml><?xml version="1.0" encoding="utf-8"?>
<sst xmlns="http://schemas.openxmlformats.org/spreadsheetml/2006/main" count="590" uniqueCount="291">
  <si>
    <t>QA checklist for Issue Report #16</t>
  </si>
  <si>
    <t>About</t>
  </si>
  <si>
    <t>Date / baseline</t>
  </si>
  <si>
    <t>2026-10-24. HEAD = 5abd155 ('F9, F14a, N62, N27'): Codex's TASK-N27 and TASK-F9_F14a_N62, already committed by you.</t>
  </si>
  <si>
    <t>Sources</t>
  </si>
  <si>
    <t>Issue Report #16 §1 (Docs/AI/Reports/2026-10-24_IssueReport-16.md), §9 of the two specs (Docs/AI/Tasks/), and Codex's report 2026-10-24_F9_F14a_N62_Implementation.md §6. TASK-N27 has no Codex report (its session was interrupted); its evidence is in build/n27-verification/.</t>
  </si>
  <si>
    <t>Code review (Claude)</t>
  </si>
  <si>
    <t>I checked both diffs line by line against the specs: they match.
• N27, Codex's harness: 'Invalid mane material index.' 4 times before, 0 after; mane height / body height 0.544 (target 0.54 ± 0.05); a respawn keeps the colour; 1,000 picks cover all five colours. I looked at its renders: the mane sits right.
• F9 / F14a / N62: fades measured 0.77 s in (with a first-use frame) and 0.62 s out; the six boxes checked at 2 sizes × 3 languages; the UI6 sweep has its 199 old diagnostics and no new one; the release build succeeded.
• I didn't run Unity myself. No harness can play a real remote client: this checklist is the real test.</t>
  </si>
  <si>
    <t>Why</t>
  </si>
  <si>
    <t>When this checklist passes, N27, N62, F9 and F14a close, and Codex can start the next two tasks (the counters F15 / F16 with N64, and N63 with your new mane palette).</t>
  </si>
  <si>
    <t>Who runs it</t>
  </si>
  <si>
    <t>The developer: A–D and H in two Unity Editors (ParrelSync), E in one Editor (optional), G with a new Windows build plus an Editor.</t>
  </si>
  <si>
    <t>Order</t>
  </si>
  <si>
    <t>A → B → C → D in two or three matches (they can share matches). E (network off) whenever convenient. Then G (build) and H at the end.</t>
  </si>
  <si>
    <t>How to report</t>
  </si>
  <si>
    <t>1. Set Status on every row of the Checklist sheet. The Summary sheet updates by itself.
2. For every Fail, paste the Console text (error plus stack trace) into 'Console output / notes'. For a visual Fail, save a screenshot and write its file name there.
3. A2.1 and A4.1: write the mane colours you saw.
4. If you run rows on your second machine, write 'PC 2' in Tested by.
5. New problems you notice: add them at the bottom of the Known issues sheet ('Found during the checks'). I read every sheet.
6. Please type only in the yellow cells: last time the clone-start text landed in C1.4's Group cell (harmless, but the Summary counted C1 with one row less).
7. Tell Claude when you're done.</t>
  </si>
  <si>
    <t>Legend</t>
  </si>
  <si>
    <t>Cells to fill in</t>
  </si>
  <si>
    <t>Only the yellow cells on the Checklist sheet: Status, Tested by, Date, Console output / notes. Everything else is reference text or formulas.</t>
  </si>
  <si>
    <t>Pass</t>
  </si>
  <si>
    <t>Every expected result in the row was seen.</t>
  </si>
  <si>
    <t>Fail</t>
  </si>
  <si>
    <t>At least one expected result wasn't seen, or a new error appeared. Add the Console text or a screenshot name. (Typing False also counts as Fail.)</t>
  </si>
  <si>
    <t>Blocked</t>
  </si>
  <si>
    <t>The row couldn't be run (e.g. an earlier failure). Say why in the notes.</t>
  </si>
  <si>
    <t>Not run</t>
  </si>
  <si>
    <t>Skipped on purpose. Fine for optional rows; for a required row it keeps the group open.</t>
  </si>
  <si>
    <t>N/A</t>
  </si>
  <si>
    <t>Doesn't apply in this setup. Counts like a Pass for the group result.</t>
  </si>
  <si>
    <t>Optional = Yes</t>
  </si>
  <si>
    <t>Optional rows don't hold back a group's Pass result.</t>
  </si>
  <si>
    <t>Grey text</t>
  </si>
  <si>
    <t>In a group's second and later rows, Check / Covers / Task / Run as / Size repeat the first row so that filtering works.</t>
  </si>
  <si>
    <t>Preparation</t>
  </si>
  <si>
    <t>1. The clone with its own log</t>
  </si>
  <si>
    <t>2. Console</t>
  </si>
  <si>
    <t>In both Editors, open the Console: Collapse off, Clear on Play on.</t>
  </si>
  <si>
    <t>3. Clean start</t>
  </si>
  <si>
    <t>Both Editors in English unless a row says otherwise. git status may show the font asset as modified: that's fine during the checks (see 'Before you commit').</t>
  </si>
  <si>
    <t>4. Start a match</t>
  </si>
  <si>
    <t>Log in and go to the Lobby in both windows. The main Editor presses Create Lobby: from now on it's the host window. The clone presses Find Lobby, selects the lobby and presses Join: it's the client window. The host presses Start game.</t>
  </si>
  <si>
    <t>5. Game view</t>
  </si>
  <si>
    <t>1920×1080 in both Editors unless a row names another size (C1.2 uses 1280×720).</t>
  </si>
  <si>
    <t>Useful facts</t>
  </si>
  <si>
    <t>Table sides</t>
  </si>
  <si>
    <t>Both windows look at the table from the same camera. The HOST's cards, pony and blocks are on the LEFT (red side); the CLIENT's on the RIGHT (blue side).</t>
  </si>
  <si>
    <t>New this round</t>
  </si>
  <si>
    <t>• Each pony has a mane. The server picks a different colour for each player before the first spawn and keeps it until the match ends.
• The big card fades in (0.7 s) and out (0.6 s). The two times are fields on CardPreviewController (PlayerSessionPrefab).
• Six HUD texts have a dark box behind them: HP, Life, Mana, Opponent mana, the announcer and the hint line.
• Send during the opponent's turn now says 'It's your opponent's turn.'</t>
  </si>
  <si>
    <t>Casting</t>
  </si>
  <si>
    <t>In your Player action: left-click the played card in the BOTTOM HUD ROW → click the target on the table → Confirm → Send. Self cards (Healing Hooves, Clarity) choose their target automatically.</t>
  </si>
  <si>
    <t>Phases (en)</t>
  </si>
  <si>
    <t>Line 1 of the announcer: 'Round preparation' (5 s), 'Drawing cards' (about 3 s), 'Card Selection' (60 s), 'Player action' (60 s per player), 'Waiting for respawn' (30 s).</t>
  </si>
  <si>
    <t>Controls</t>
  </si>
  <si>
    <t>Hand cards: left-click = play, right-click = discard. Confirm Turn confirms the selection in Card Selection, ends your Player action, and confirms the respawn block in Waiting for respawn. W/A/S/D = one step (own Player action). Space = −10 HP to yourself (own Player action; Editor and development builds only).</t>
  </si>
  <si>
    <t>Kill a pony at any moment</t>
  </si>
  <si>
    <t>In the HOST window's Scene view, select the pony (PonyBase(Clone)) and drag it sideways off its platform, or add about 20 to its Transform Position X or Z. It falls into the lava and dies. Host window only: the lava check runs on the server.</t>
  </si>
  <si>
    <t>Switch language</t>
  </si>
  <si>
    <t>Main menu → Settings (remembered). In the lobby or during a match: Window → Asset Management → Localization Scene Controls → Active Locale.</t>
  </si>
  <si>
    <t>Player build</t>
  </si>
  <si>
    <t>Build to C:\Lesson\Spellcasters.Build\ (row G1.1). Its log: %USERPROFILE%\AppData\LocalLow\DefaultCompany\FallenStar-Spellcasters\Player.log (moved to Player-prev.log at each start). Make a NEW build: the pony prefab changed, so an older build can't play against today's Editor.</t>
  </si>
  <si>
    <t>Changes from the last checklist (2026-10-24, #15)</t>
  </si>
  <si>
    <t>IDs</t>
  </si>
  <si>
    <t>New numbering: A–H here aren't last round's A–H.</t>
  </si>
  <si>
    <t>Last round's results</t>
  </si>
  <si>
    <t>34 Pass, 4 N/A, 4 optional rows not run, no Fail. N59, N61, N36, F1, F4, F6 and UI7 are closed (report #16).</t>
  </si>
  <si>
    <t>Your notes</t>
  </si>
  <si>
    <t>• A4.1 'lobby not found': a lobby refresh that finishes after your own Disconnect. Now N63, fixed by the next task.
• B 'can't be run': the clone's log shows all three offline attempts did run (two Find Lobby timeouts, a Create Lobby timeout, a failed sign-in). The message comes only after the 10 s timeout. Section E repeats them with a 15 s wait (optional).</t>
  </si>
  <si>
    <t>Before you commit</t>
  </si>
  <si>
    <t>1. Language</t>
  </si>
  <si>
    <t>Set both Editors back to English.</t>
  </si>
  <si>
    <t>2. The font</t>
  </si>
  <si>
    <t>With both Editors closed: git restore "Assets/Fonts/MPLUSRounded1c-Medium SDF.asset"</t>
  </si>
  <si>
    <t>3. The pony prefab</t>
  </si>
  <si>
    <t>git status must not show PonyBase.prefab (A1.1 only looks at it). If it does: git restore Assets/Prefab/BoardPrefab/PonyBase.prefab</t>
  </si>
  <si>
    <t>4. Nothing else</t>
  </si>
  <si>
    <t>This round has no temporary code change. Only the docs from report #16 should be new or deleted.</t>
  </si>
  <si>
    <t>QA checklist: N27 (mane), F9 (fade), F14a (dark boxes) and N62 (Issue Report #16)</t>
  </si>
  <si>
    <t>Baseline 5abd155 ('F9, F14a, N62, N27', 2026-10-24): Codex's two tasks, already committed. Fill in only the yellow cells. Optional rows don't hold back a group.</t>
  </si>
  <si>
    <t>ID</t>
  </si>
  <si>
    <t>Group</t>
  </si>
  <si>
    <t>Check</t>
  </si>
  <si>
    <t>Covers</t>
  </si>
  <si>
    <t>Task</t>
  </si>
  <si>
    <t>Run as</t>
  </si>
  <si>
    <t>Size</t>
  </si>
  <si>
    <t>Steps</t>
  </si>
  <si>
    <t>Expected result</t>
  </si>
  <si>
    <t>Optional</t>
  </si>
  <si>
    <t>Status</t>
  </si>
  <si>
    <t>Tested by</t>
  </si>
  <si>
    <t>Date</t>
  </si>
  <si>
    <t>Console output / notes</t>
  </si>
  <si>
    <t>A. The mane (N27). Two Editors; main = host, clone = client (Read me → Preparation).</t>
  </si>
  <si>
    <t>A1.1</t>
  </si>
  <si>
    <t>A1</t>
  </si>
  <si>
    <t>The mane sits on the head</t>
  </si>
  <si>
    <t>N27</t>
  </si>
  <si>
    <t>Host</t>
  </si>
  <si>
    <t>—</t>
  </si>
  <si>
    <t>Open Assets/Prefab/BoardPrefab/PonyBase.prefab (double-click). Look at the pony from the front, the side and ¾.</t>
  </si>
  <si>
    <t>The mane sits on the head and neck from every angle, the forelock between the ears. Nothing purple. Close the prefab without saving if Unity asks.</t>
  </si>
  <si>
    <t>A2.1</t>
  </si>
  <si>
    <t>A2</t>
  </si>
  <si>
    <t>Two different colours, the same on both peers</t>
  </si>
  <si>
    <t>1920×1080</t>
  </si>
  <si>
    <t>Start a match (Read me → Preparation 4). In the HOST window look at both ponies. Write the two mane colours in the notes (e.g. 'left gold, right black').</t>
  </si>
  <si>
    <t>Both ponies have a mane. The two colours differ and are from: white, black, brown, gold, pink.</t>
  </si>
  <si>
    <t>A2.2</t>
  </si>
  <si>
    <t>Client</t>
  </si>
  <si>
    <t>Same match, CLIENT window.</t>
  </si>
  <si>
    <t>The same colour on the same pony as in the host window (host = left / red, client = right / blue).</t>
  </si>
  <si>
    <t>A3.1</t>
  </si>
  <si>
    <t>A3</t>
  </si>
  <si>
    <t>A respawn keeps the colour</t>
  </si>
  <si>
    <t>Both</t>
  </si>
  <si>
    <t>Kill a pony (Read me → Kill a pony, host window). Confirm the respawn block.</t>
  </si>
  <si>
    <t>The respawned pony has the same mane colour as before, in both windows.</t>
  </si>
  <si>
    <t>A4.1</t>
  </si>
  <si>
    <t>A4</t>
  </si>
  <si>
    <t>A new match picks again</t>
  </si>
  <si>
    <t>End the match (Leave match → Leave is fastest). Both: Result → Main menu → Lobby → a new match.</t>
  </si>
  <si>
    <t>The colours are picked again (they may stay the same by chance). The two ponies still differ. Write the colours.</t>
  </si>
  <si>
    <t>A4.2</t>
  </si>
  <si>
    <t>Repeat A4.1 two more times.</t>
  </si>
  <si>
    <t>Each time the two colours differ. Over the three matches you probably see at least three different colours.</t>
  </si>
  <si>
    <t>Yes</t>
  </si>
  <si>
    <t>A5.1</t>
  </si>
  <si>
    <t>A5</t>
  </si>
  <si>
    <t>Selection still works</t>
  </si>
  <si>
    <t>In your own Player action, click a pony on the table (as a target), then click the empty ground.</t>
  </si>
  <si>
    <t>The clicked pony turns white, body AND mane. Afterwards both get their colours back (body = team colour, mane = its colour).</t>
  </si>
  <si>
    <t>B. The big-card fade (F9). Two Editors, Card Selection unless a row says otherwise.</t>
  </si>
  <si>
    <t>B1.1</t>
  </si>
  <si>
    <t>B1</t>
  </si>
  <si>
    <t>Fade in and out</t>
  </si>
  <si>
    <t>F9</t>
  </si>
  <si>
    <t>F9_F14a_N62</t>
  </si>
  <si>
    <t>Hover a card in your hand row (bottom of the screen) for 2 s, then move the pointer away.</t>
  </si>
  <si>
    <t>The big card appears softly (about 0.7 s) and disappears softly (about 0.6 s).</t>
  </si>
  <si>
    <t>B1.2</t>
  </si>
  <si>
    <t>Sweep the pointer quickly back and forth across all your hand cards, then away from the hand.</t>
  </si>
  <si>
    <t>The big card follows the pointer with short cross-fades. No flicker, no stuck card. Shortly after you leave, nothing stays on screen.</t>
  </si>
  <si>
    <t>B1.3</t>
  </si>
  <si>
    <t>Click a card on the TABLE (left or right side) twice, then click empty ground.</t>
  </si>
  <si>
    <t>The second click keeps the same big card (no flash). The ground click fades it out.</t>
  </si>
  <si>
    <t>B1.4</t>
  </si>
  <si>
    <t>In your own Player action: hover a card in the bottom row, move away, and while its big card is still fading, click a target on the table.</t>
  </si>
  <si>
    <t>The table click works as usual (the fading card doesn't block it).</t>
  </si>
  <si>
    <t>B2.1</t>
  </si>
  <si>
    <t>B2</t>
  </si>
  <si>
    <t>The durations are editable</t>
  </si>
  <si>
    <t>In Play Mode, in the Hierarchy select each PlayerSessionPrefab(Clone) → CardPreviewController and set Fade In Duration 2 and Fade Out Duration 2. Hover a card and leave.</t>
  </si>
  <si>
    <t>Both fades now take about 2 s. (Play Mode changes are undone when you stop: nothing to restore.)</t>
  </si>
  <si>
    <t>B3.1</t>
  </si>
  <si>
    <t>B3</t>
  </si>
  <si>
    <t>No fade after leaving</t>
  </si>
  <si>
    <t>With a big card on screen, press Leave match → Leave.</t>
  </si>
  <si>
    <t>The big card is gone at once; nothing fades over the Result screen.</t>
  </si>
  <si>
    <t>C. Dark boxes behind the HUD texts (F14a). Two Editors.</t>
  </si>
  <si>
    <t>C1.1</t>
  </si>
  <si>
    <t>C1</t>
  </si>
  <si>
    <t>Six texts have a dark box</t>
  </si>
  <si>
    <t>F14a</t>
  </si>
  <si>
    <t>en, 1920×1080, during a Player action with a hint shown (e.g. press Confirm with no card picked).</t>
  </si>
  <si>
    <t>Dark boxes behind: HP, Life, Mana, Opponent mana, the announcer (both lines) and the yellow hint line. The texts are easy to read over the lava. No box covers a button.</t>
  </si>
  <si>
    <t>C1.2</t>
  </si>
  <si>
    <t>1280×720</t>
  </si>
  <si>
    <t>Same in ru at 1280×720 (the compact layout), then ja.</t>
  </si>
  <si>
    <t>As C1.1: the boxes follow the texts to their compact positions and fit the longer ru / ja texts.</t>
  </si>
  <si>
    <t>C1.3</t>
  </si>
  <si>
    <t>Watch the hint line until its hint disappears (about 2 s).</t>
  </si>
  <si>
    <t>The hint's box disappears with the text. No empty dark box stays on screen.</t>
  </si>
  <si>
    <t>C1.4</t>
  </si>
  <si>
    <t>While a hint is shown, switch the language (Read me → Switch language): en → ru → ja → en.</t>
  </si>
  <si>
    <t>Each box resizes to its new text at once. Nothing stays the old size for more than a moment.</t>
  </si>
  <si>
    <t>D. Send on the opponent's turn (N62). Two Editors.</t>
  </si>
  <si>
    <t>D1.1</t>
  </si>
  <si>
    <t>D1</t>
  </si>
  <si>
    <t>The right hint for Send</t>
  </si>
  <si>
    <t>N62</t>
  </si>
  <si>
    <t>During the HOST's Player action, press Send in the CLIENT window with nothing picked.</t>
  </si>
  <si>
    <t>'It's your opponent's turn.' (Last round it said 'Choose a target …'.)</t>
  </si>
  <si>
    <t>D1.2</t>
  </si>
  <si>
    <t>During the CLIENT's Player action, press Send in the HOST window.</t>
  </si>
  <si>
    <t>'It's your opponent's turn.'</t>
  </si>
  <si>
    <t>D1.3</t>
  </si>
  <si>
    <t>In your own Player action: press Send with no target confirmed; then pick a played card, click its target, Confirm, Send.</t>
  </si>
  <si>
    <t>First 'Choose a target and press Confirm before Send.' Then the card is cast normally.</t>
  </si>
  <si>
    <t>D1.4</t>
  </si>
  <si>
    <t>During the OPPONENT's Player action: pick your played card in the bottom row, click a target, press Confirm, then Send. When your own Player action starts, press Send again.</t>
  </si>
  <si>
    <t>During their turn: 'It's your opponent's turn.' In your own turn the card is cast without picking it again (the package was kept).</t>
  </si>
  <si>
    <t>E. Messages with the network off (repeat of last round's B, optional). One Editor is enough.</t>
  </si>
  <si>
    <t>E1.1</t>
  </si>
  <si>
    <t>E1</t>
  </si>
  <si>
    <t>Failures show a message</t>
  </si>
  <si>
    <t>F1</t>
  </si>
  <si>
    <t>N59_N61_F1</t>
  </si>
  <si>
    <t>Log in and open the Lobby. Turn the PC's network off. Press Find Lobby and WAIT 15 s: the request needs about 10 s to give up.</t>
  </si>
  <si>
    <t>'Couldn't load the lobby list. Try again.' appears after about 10 s. Write in the notes how long it took.</t>
  </si>
  <si>
    <t>E1.2</t>
  </si>
  <si>
    <t>Still offline: press Create Lobby and wait 15 s.</t>
  </si>
  <si>
    <t>'Couldn't create a lobby. Check your connection and try again.' You stay in the search view.</t>
  </si>
  <si>
    <t>E1.3</t>
  </si>
  <si>
    <t>Stop Play Mode, start again (LoginScene), still offline, press Login anonymous and wait 15 s. Turn the network back on afterwards.</t>
  </si>
  <si>
    <t>'Couldn't sign in. Check your connection and try again.' You stay on the Login screen.</t>
  </si>
  <si>
    <t>G. A new release build against an Editor.</t>
  </si>
  <si>
    <t>G1.1</t>
  </si>
  <si>
    <t>G1</t>
  </si>
  <si>
    <t>Release build: mane, fade, boxes, clean log</t>
  </si>
  <si>
    <t>N27, F9, F14a</t>
  </si>
  <si>
    <t>All</t>
  </si>
  <si>
    <t>Build</t>
  </si>
  <si>
    <t>File → Build Profiles → Windows, Development Build OFF → Build to C:\Lesson\Spellcasters.Build (replace the old build). Start it.</t>
  </si>
  <si>
    <t>The build succeeds and starts at the Login screen.</t>
  </si>
  <si>
    <t>G1.2</t>
  </si>
  <si>
    <t>Build = host, Editor = client. Play into the first Player action.</t>
  </si>
  <si>
    <t>Both ponies have manes, the same colours in both windows. The big card fades; the HUD texts have their boxes.</t>
  </si>
  <si>
    <t>G1.3</t>
  </si>
  <si>
    <t>Close the build. Search its Player.log (Read me → Player build) for: Invalid mane material · Mane object is not assigned · Exception</t>
  </si>
  <si>
    <t>None of them appears.</t>
  </si>
  <si>
    <t>H. Both Editor logs, at the end.</t>
  </si>
  <si>
    <t>H1.1</t>
  </si>
  <si>
    <t>H1</t>
  </si>
  <si>
    <t>Editor logs are clean</t>
  </si>
  <si>
    <t>Search the main Editor's log (%LOCALAPPDATA%\Unity\Editor\Editor.log) and C:\Lesson\clone-editor.log for 'Exception' and 'Invalid mane'.</t>
  </si>
  <si>
    <t>No exception from game code, no mane warning. ('lobby not found' is known: N63. Write its time if you see it.)</t>
  </si>
  <si>
    <t>H1.2</t>
  </si>
  <si>
    <t>Look for 'NetworkSceneManager.Dispose' (a NullReferenceException when you stop Play Mode, U9).</t>
  </si>
  <si>
    <t>Write 'none', or which window and which scene you stopped in (e.g. 'clone, ResultScene').</t>
  </si>
  <si>
    <t>Results summary</t>
  </si>
  <si>
    <t>Calculated from the Checklist sheet; don't edit. Result: Fail if any row failed; Blocked if any row is blocked; Pass when every required row is Pass or N/A.</t>
  </si>
  <si>
    <t>Items</t>
  </si>
  <si>
    <t>Required</t>
  </si>
  <si>
    <t>Not run / empty</t>
  </si>
  <si>
    <t>Open (required)</t>
  </si>
  <si>
    <t>Done %</t>
  </si>
  <si>
    <t>Result</t>
  </si>
  <si>
    <t>Overall</t>
  </si>
  <si>
    <t>What you may see during the checks</t>
  </si>
  <si>
    <t>Known and expected: don't mark a row Fail for these</t>
  </si>
  <si>
    <t>You see</t>
  </si>
  <si>
    <t>Notes</t>
  </si>
  <si>
    <t>The manes are white, black, brown, gold or pink.</t>
  </si>
  <si>
    <t>N27 / Q1</t>
  </si>
  <si>
    <t>Expected this round. Your new palette (white, gold, pink, violet, orange; poll #15 Q1 = c) comes with the next task, TASK-N63_ManePalette.</t>
  </si>
  <si>
    <t>The 'Confirm turn' button stays in English in ru and ja.</t>
  </si>
  <si>
    <t>N64</t>
  </si>
  <si>
    <t>Known (found this round). Fixed by the next task, TASK-F15_F16_N64.</t>
  </si>
  <si>
    <t>'LobbyServiceException: lobby not found' (red) right after a Disconnect.</t>
  </si>
  <si>
    <t>N63</t>
  </si>
  <si>
    <t>Known (your A4.1 note). Harmless; the next task makes it quiet. Write the time if you see it.</t>
  </si>
  <si>
    <t>A NullReferenceException in NetworkSceneManager.Dispose when you stop Play Mode.</t>
  </si>
  <si>
    <t>U9</t>
  </si>
  <si>
    <t>Seen again last round (clone, after a match). Inside NGO; note it in H1.2, don't fail a row for it.</t>
  </si>
  <si>
    <t>The dark box behind the announcer sits on the announcer's grey panel.</t>
  </si>
  <si>
    <t>As specified. If you'd rather have no box there, write it in the notes of C1.1.</t>
  </si>
  <si>
    <t>Many debug lines in the Editor Console (phases, 'Card clicked', 'DespawnBlock' …).</t>
  </si>
  <si>
    <t>N34</t>
  </si>
  <si>
    <t>Expected in the Editor. Only release builds must be quiet (G1.3).</t>
  </si>
  <si>
    <t>'No card selected for control package.' / 'Send ignored: …' warnings next to the hints.</t>
  </si>
  <si>
    <t>Expected: the warnings stay, the hints are on screen.</t>
  </si>
  <si>
    <t>'Remote client disconnected. Host continue' when the opponent leaves.</t>
  </si>
  <si>
    <t>H6</t>
  </si>
  <si>
    <t>Expected: the forfeit path.</t>
  </si>
  <si>
    <t>Offline, a failure message needs about 10 s to appear.</t>
  </si>
  <si>
    <t>The online services give up after 10 s. Rows E1.x: wait 15 s.</t>
  </si>
  <si>
    <t>With 10 cards the hand cards overlap a little; the right card takes the click.</t>
  </si>
  <si>
    <t>UI3</t>
  </si>
  <si>
    <t>By design.</t>
  </si>
  <si>
    <t>The lobby player item shows the short ID as the name and the full ID under it.</t>
  </si>
  <si>
    <t>N29</t>
  </si>
  <si>
    <t>Parked by you.</t>
  </si>
  <si>
    <t>MPLUSRounded1c-Medium SDF.asset shows as modified in git status after ru/ja text rendered.</t>
  </si>
  <si>
    <t>N28</t>
  </si>
  <si>
    <t>Expected in the Editor. Restore it before committing (Read me → Before you commit).</t>
  </si>
  <si>
    <t>Fixed in this round: mark the row Fail if you see these</t>
  </si>
  <si>
    <t>Checked in</t>
  </si>
  <si>
    <t>No mane on the pony; 'Invalid mane material index.' at every spawn.</t>
  </si>
  <si>
    <t>A, G1.3, H1.1</t>
  </si>
  <si>
    <t>The big card appears and disappears at once.</t>
  </si>
  <si>
    <t>B</t>
  </si>
  <si>
    <t>HP, Life and Mana hard to read over the lava.</t>
  </si>
  <si>
    <t>C</t>
  </si>
  <si>
    <t>Send on the opponent's turn says 'Choose a target and press Confirm before Send.'</t>
  </si>
  <si>
    <t>Found during the checks (add your own rows here)</t>
  </si>
  <si>
    <t>What you saw</t>
  </si>
  <si>
    <t>Row / when</t>
  </si>
  <si>
    <t>Console text, screenshot</t>
  </si>
  <si>
    <t>Start the clone from PowerShell, so that it writes its own log:
&amp; 'C:\Program Files\Unity\Hub\Editor\6000.3.13f1\Editor\Unity.exe' -projectPath 'C:\Lesson\FallenStar-Spellcasters_clone_1' -logFile 'C:\Lesson\clone-editor.log'
Last round the clone ran without it at least once: its lines went into the shared Editor.log and replaced the main Editor's, so I couldn't read the host side of A4.</t>
    <phoneticPr fontId="9"/>
  </si>
  <si>
    <t>Owner</t>
    <phoneticPr fontId="9"/>
  </si>
  <si>
    <t>White, brown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</si>
</sst>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 x14ac:knownFonts="1">
    <font>
      <sz val="11"/>
      <color theme="1"/>
      <name val="ＭＳ Ｐゴシック"/>
      <family val="2"/>
      <scheme val="minor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i/>
      <sz val="10"/>
      <color rgb="FF000000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sz val="10"/>
      <color rgb="FF808080"/>
      <name val="Arial"/>
    </font>
    <font>
      <sz val="6"/>
      <name val="ＭＳ Ｐゴシック"/>
      <family val="3"/>
      <charset val="128"/>
      <scheme val="minor"/>
    </font>
    <font>
      <b/>
      <sz val="16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76" fontId="3" fillId="4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9" fontId="3" fillId="0" borderId="1" xfId="0" applyNumberFormat="1" applyFont="1" applyBorder="1" applyAlignment="1">
      <alignment vertical="top"/>
    </xf>
    <xf numFmtId="0" fontId="2" fillId="0" borderId="0" xfId="0" applyFont="1"/>
    <xf numFmtId="0" fontId="2" fillId="0" borderId="1" xfId="0" applyFont="1" applyBorder="1"/>
    <xf numFmtId="9" fontId="2" fillId="0" borderId="1" xfId="0" applyNumberFormat="1" applyFont="1" applyBorder="1"/>
    <xf numFmtId="0" fontId="7" fillId="0" borderId="0" xfId="0" applyFont="1"/>
    <xf numFmtId="0" fontId="6" fillId="2" borderId="1" xfId="0" applyFont="1" applyFill="1" applyBorder="1"/>
    <xf numFmtId="0" fontId="0" fillId="4" borderId="1" xfId="0" applyFill="1" applyBorder="1" applyAlignment="1">
      <alignment vertical="top" wrapText="1"/>
    </xf>
    <xf numFmtId="0" fontId="10" fillId="0" borderId="0" xfId="0" applyFont="1"/>
    <xf numFmtId="0" fontId="11" fillId="4" borderId="1" xfId="0" applyFont="1" applyFill="1" applyBorder="1" applyAlignment="1">
      <alignment vertical="top" wrapText="1"/>
    </xf>
    <xf numFmtId="0" fontId="7" fillId="3" borderId="0" xfId="0" applyFont="1" applyFill="1" applyAlignment="1">
      <alignment vertical="center"/>
    </xf>
    <xf numFmtId="0" fontId="0" fillId="0" borderId="0" xfId="0"/>
    <xf numFmtId="0" fontId="11" fillId="0" borderId="0" xfId="0" applyFont="1" applyAlignment="1">
      <alignment vertical="top" wrapText="1"/>
    </xf>
    <xf numFmtId="14" fontId="0" fillId="0" borderId="0" xfId="0" applyNumberFormat="1"/>
  </cellXfs>
  <cellStyles count="1">
    <cellStyle name="標準" xfId="0" builtinId="0"/>
  </cellStyles>
  <dxfs count="10">
    <dxf>
      <fill>
        <patternFill patternType="solid">
          <fgColor rgb="FFDDEBF7"/>
        </patternFill>
      </fill>
    </dxf>
    <dxf>
      <font>
        <color rgb="FF9C5700"/>
        <name val="Arial"/>
      </font>
      <fill>
        <patternFill patternType="solid">
          <fgColor rgb="FFFFEB9C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DDEBF7"/>
        </patternFill>
      </fill>
    </dxf>
    <dxf>
      <font>
        <color rgb="FF9C5700"/>
        <name val="Arial"/>
      </font>
      <fill>
        <patternFill patternType="solid">
          <fgColor rgb="FFFFEB9C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A9" workbookViewId="0">
      <selection activeCell="K40" sqref="K40"/>
    </sheetView>
  </sheetViews>
  <sheetFormatPr defaultRowHeight="13.5" x14ac:dyDescent="0.15"/>
  <cols>
    <col min="1" max="1" width="28" customWidth="1"/>
    <col min="2" max="2" width="110" customWidth="1"/>
  </cols>
  <sheetData>
    <row r="1" spans="1:14" ht="20.25" customHeight="1" x14ac:dyDescent="0.3">
      <c r="A1" s="21" t="s">
        <v>0</v>
      </c>
    </row>
    <row r="3" spans="1:14" ht="15.75" customHeight="1" x14ac:dyDescent="0.25">
      <c r="A3" s="1" t="s">
        <v>1</v>
      </c>
    </row>
    <row r="4" spans="1:14" ht="30.95" customHeight="1" x14ac:dyDescent="0.15">
      <c r="A4" s="2" t="s">
        <v>2</v>
      </c>
      <c r="B4" s="3" t="s">
        <v>3</v>
      </c>
    </row>
    <row r="5" spans="1:14" ht="44.45" customHeight="1" x14ac:dyDescent="0.15">
      <c r="A5" s="2" t="s">
        <v>4</v>
      </c>
      <c r="B5" s="3" t="s">
        <v>5</v>
      </c>
      <c r="L5" t="s">
        <v>289</v>
      </c>
      <c r="M5" s="26">
        <v>46323</v>
      </c>
    </row>
    <row r="6" spans="1:14" ht="111.95" customHeight="1" x14ac:dyDescent="0.15">
      <c r="A6" s="2" t="s">
        <v>6</v>
      </c>
      <c r="B6" s="3" t="s">
        <v>7</v>
      </c>
      <c r="L6" t="s">
        <v>289</v>
      </c>
      <c r="M6" s="26">
        <v>46323</v>
      </c>
    </row>
    <row r="7" spans="1:14" ht="30.95" customHeight="1" x14ac:dyDescent="0.15">
      <c r="A7" s="2" t="s">
        <v>8</v>
      </c>
      <c r="B7" s="3" t="s">
        <v>9</v>
      </c>
      <c r="L7" t="s">
        <v>289</v>
      </c>
      <c r="M7" s="26">
        <v>46323</v>
      </c>
    </row>
    <row r="8" spans="1:14" ht="30.95" customHeight="1" x14ac:dyDescent="0.15">
      <c r="A8" s="2" t="s">
        <v>10</v>
      </c>
      <c r="B8" s="3" t="s">
        <v>11</v>
      </c>
      <c r="L8" t="s">
        <v>289</v>
      </c>
      <c r="M8" s="26">
        <v>46323</v>
      </c>
    </row>
    <row r="9" spans="1:14" ht="30.95" customHeight="1" x14ac:dyDescent="0.15">
      <c r="A9" s="2" t="s">
        <v>12</v>
      </c>
      <c r="B9" s="3" t="s">
        <v>13</v>
      </c>
      <c r="L9" t="s">
        <v>289</v>
      </c>
      <c r="M9" s="26">
        <v>46323</v>
      </c>
      <c r="N9" t="s">
        <v>290</v>
      </c>
    </row>
    <row r="10" spans="1:14" ht="138.94999999999999" customHeight="1" x14ac:dyDescent="0.15">
      <c r="A10" s="2" t="s">
        <v>14</v>
      </c>
      <c r="B10" s="3" t="s">
        <v>15</v>
      </c>
      <c r="L10" t="s">
        <v>289</v>
      </c>
      <c r="M10" s="26">
        <v>46323</v>
      </c>
    </row>
    <row r="11" spans="1:14" x14ac:dyDescent="0.15">
      <c r="L11" t="s">
        <v>289</v>
      </c>
      <c r="M11" s="26">
        <v>46323</v>
      </c>
    </row>
    <row r="12" spans="1:14" ht="15.75" customHeight="1" x14ac:dyDescent="0.25">
      <c r="A12" s="1" t="s">
        <v>16</v>
      </c>
    </row>
    <row r="13" spans="1:14" ht="30.95" customHeight="1" x14ac:dyDescent="0.15">
      <c r="A13" s="2" t="s">
        <v>17</v>
      </c>
      <c r="B13" s="3" t="s">
        <v>18</v>
      </c>
      <c r="L13" t="s">
        <v>289</v>
      </c>
      <c r="M13" s="26">
        <v>46323</v>
      </c>
    </row>
    <row r="14" spans="1:14" ht="17.45" customHeight="1" x14ac:dyDescent="0.15">
      <c r="A14" s="2" t="s">
        <v>19</v>
      </c>
      <c r="B14" s="3" t="s">
        <v>20</v>
      </c>
      <c r="L14" t="s">
        <v>289</v>
      </c>
      <c r="M14" s="26">
        <v>46323</v>
      </c>
    </row>
    <row r="15" spans="1:14" ht="30.95" customHeight="1" x14ac:dyDescent="0.15">
      <c r="A15" s="2" t="s">
        <v>21</v>
      </c>
      <c r="B15" s="3" t="s">
        <v>22</v>
      </c>
      <c r="L15" t="s">
        <v>289</v>
      </c>
      <c r="M15" s="26">
        <v>46323</v>
      </c>
    </row>
    <row r="16" spans="1:14" ht="17.45" customHeight="1" x14ac:dyDescent="0.15">
      <c r="A16" s="2" t="s">
        <v>23</v>
      </c>
      <c r="B16" s="3" t="s">
        <v>24</v>
      </c>
      <c r="L16" t="s">
        <v>289</v>
      </c>
      <c r="M16" s="26">
        <v>46323</v>
      </c>
    </row>
    <row r="17" spans="1:13" ht="17.45" customHeight="1" x14ac:dyDescent="0.15">
      <c r="A17" s="2" t="s">
        <v>25</v>
      </c>
      <c r="B17" s="3" t="s">
        <v>26</v>
      </c>
      <c r="L17" t="s">
        <v>289</v>
      </c>
      <c r="M17" s="26">
        <v>46323</v>
      </c>
    </row>
    <row r="18" spans="1:13" ht="17.45" customHeight="1" x14ac:dyDescent="0.15">
      <c r="A18" s="2" t="s">
        <v>27</v>
      </c>
      <c r="B18" s="3" t="s">
        <v>28</v>
      </c>
      <c r="L18" t="s">
        <v>289</v>
      </c>
      <c r="M18" s="26">
        <v>46323</v>
      </c>
    </row>
    <row r="19" spans="1:13" ht="17.45" customHeight="1" x14ac:dyDescent="0.15">
      <c r="A19" s="2" t="s">
        <v>29</v>
      </c>
      <c r="B19" s="3" t="s">
        <v>30</v>
      </c>
    </row>
    <row r="20" spans="1:13" ht="30.95" customHeight="1" x14ac:dyDescent="0.15">
      <c r="A20" s="2" t="s">
        <v>31</v>
      </c>
      <c r="B20" s="3" t="s">
        <v>32</v>
      </c>
      <c r="L20" t="s">
        <v>289</v>
      </c>
      <c r="M20" s="26">
        <v>46323</v>
      </c>
    </row>
    <row r="21" spans="1:13" x14ac:dyDescent="0.15">
      <c r="L21" t="s">
        <v>289</v>
      </c>
      <c r="M21" s="26">
        <v>46323</v>
      </c>
    </row>
    <row r="22" spans="1:13" ht="15.75" customHeight="1" x14ac:dyDescent="0.25">
      <c r="A22" s="1" t="s">
        <v>33</v>
      </c>
      <c r="L22" t="s">
        <v>289</v>
      </c>
      <c r="M22" s="26">
        <v>46323</v>
      </c>
    </row>
    <row r="23" spans="1:13" ht="71.45" customHeight="1" x14ac:dyDescent="0.15">
      <c r="A23" s="2" t="s">
        <v>34</v>
      </c>
      <c r="B23" s="25" t="s">
        <v>288</v>
      </c>
      <c r="L23" t="s">
        <v>289</v>
      </c>
      <c r="M23" s="26">
        <v>46323</v>
      </c>
    </row>
    <row r="24" spans="1:13" ht="17.45" customHeight="1" x14ac:dyDescent="0.15">
      <c r="A24" s="2" t="s">
        <v>35</v>
      </c>
      <c r="B24" s="3" t="s">
        <v>36</v>
      </c>
    </row>
    <row r="25" spans="1:13" ht="30.95" customHeight="1" x14ac:dyDescent="0.15">
      <c r="A25" s="2" t="s">
        <v>37</v>
      </c>
      <c r="B25" s="3" t="s">
        <v>38</v>
      </c>
      <c r="L25" t="s">
        <v>289</v>
      </c>
      <c r="M25" s="26">
        <v>46323</v>
      </c>
    </row>
    <row r="26" spans="1:13" ht="44.45" customHeight="1" x14ac:dyDescent="0.15">
      <c r="A26" s="2" t="s">
        <v>39</v>
      </c>
      <c r="B26" s="3" t="s">
        <v>40</v>
      </c>
      <c r="L26" t="s">
        <v>289</v>
      </c>
      <c r="M26" s="26">
        <v>46323</v>
      </c>
    </row>
    <row r="27" spans="1:13" ht="17.45" customHeight="1" x14ac:dyDescent="0.15">
      <c r="A27" s="2" t="s">
        <v>41</v>
      </c>
      <c r="B27" s="3" t="s">
        <v>42</v>
      </c>
      <c r="L27" t="s">
        <v>289</v>
      </c>
      <c r="M27" s="26">
        <v>46323</v>
      </c>
    </row>
    <row r="28" spans="1:13" x14ac:dyDescent="0.15">
      <c r="L28" t="s">
        <v>289</v>
      </c>
      <c r="M28" s="26">
        <v>46323</v>
      </c>
    </row>
    <row r="29" spans="1:13" ht="15.75" customHeight="1" x14ac:dyDescent="0.25">
      <c r="A29" s="1" t="s">
        <v>43</v>
      </c>
    </row>
    <row r="30" spans="1:13" ht="30.95" customHeight="1" x14ac:dyDescent="0.15">
      <c r="A30" s="2" t="s">
        <v>44</v>
      </c>
      <c r="B30" s="3" t="s">
        <v>45</v>
      </c>
      <c r="L30" t="s">
        <v>289</v>
      </c>
      <c r="M30" s="26">
        <v>46323</v>
      </c>
    </row>
    <row r="31" spans="1:13" ht="98.45" customHeight="1" x14ac:dyDescent="0.15">
      <c r="A31" s="2" t="s">
        <v>46</v>
      </c>
      <c r="B31" s="3" t="s">
        <v>47</v>
      </c>
      <c r="L31" t="s">
        <v>289</v>
      </c>
      <c r="M31" s="26">
        <v>46323</v>
      </c>
    </row>
    <row r="32" spans="1:13" ht="30.95" customHeight="1" x14ac:dyDescent="0.15">
      <c r="A32" s="2" t="s">
        <v>48</v>
      </c>
      <c r="B32" s="3" t="s">
        <v>49</v>
      </c>
      <c r="L32" t="s">
        <v>289</v>
      </c>
      <c r="M32" s="26">
        <v>46323</v>
      </c>
    </row>
    <row r="33" spans="1:13" ht="30.95" customHeight="1" x14ac:dyDescent="0.15">
      <c r="A33" s="2" t="s">
        <v>50</v>
      </c>
      <c r="B33" s="3" t="s">
        <v>51</v>
      </c>
    </row>
    <row r="34" spans="1:13" ht="44.45" customHeight="1" x14ac:dyDescent="0.15">
      <c r="A34" s="2" t="s">
        <v>52</v>
      </c>
      <c r="B34" s="3" t="s">
        <v>53</v>
      </c>
      <c r="L34" t="s">
        <v>289</v>
      </c>
      <c r="M34" s="26">
        <v>46323</v>
      </c>
    </row>
    <row r="35" spans="1:13" ht="44.45" customHeight="1" x14ac:dyDescent="0.15">
      <c r="A35" s="2" t="s">
        <v>54</v>
      </c>
      <c r="B35" s="3" t="s">
        <v>55</v>
      </c>
      <c r="L35" t="s">
        <v>289</v>
      </c>
      <c r="M35" s="26">
        <v>46323</v>
      </c>
    </row>
    <row r="36" spans="1:13" ht="30.95" customHeight="1" x14ac:dyDescent="0.15">
      <c r="A36" s="2" t="s">
        <v>56</v>
      </c>
      <c r="B36" s="3" t="s">
        <v>57</v>
      </c>
      <c r="L36" t="s">
        <v>289</v>
      </c>
      <c r="M36" s="26">
        <v>46323</v>
      </c>
    </row>
    <row r="37" spans="1:13" ht="44.45" customHeight="1" x14ac:dyDescent="0.15">
      <c r="A37" s="2" t="s">
        <v>58</v>
      </c>
      <c r="B37" s="3" t="s">
        <v>59</v>
      </c>
    </row>
    <row r="38" spans="1:13" x14ac:dyDescent="0.15">
      <c r="L38" t="s">
        <v>289</v>
      </c>
      <c r="M38" s="26">
        <v>46323</v>
      </c>
    </row>
    <row r="39" spans="1:13" ht="15.75" customHeight="1" x14ac:dyDescent="0.25">
      <c r="A39" s="1" t="s">
        <v>60</v>
      </c>
      <c r="L39" t="s">
        <v>289</v>
      </c>
      <c r="M39" s="26">
        <v>46323</v>
      </c>
    </row>
    <row r="40" spans="1:13" ht="17.45" customHeight="1" x14ac:dyDescent="0.15">
      <c r="A40" s="2" t="s">
        <v>61</v>
      </c>
      <c r="B40" s="3" t="s">
        <v>62</v>
      </c>
    </row>
    <row r="41" spans="1:13" ht="30.95" customHeight="1" x14ac:dyDescent="0.15">
      <c r="A41" s="2" t="s">
        <v>63</v>
      </c>
      <c r="B41" s="3" t="s">
        <v>64</v>
      </c>
    </row>
    <row r="42" spans="1:13" ht="71.45" customHeight="1" x14ac:dyDescent="0.15">
      <c r="A42" s="2" t="s">
        <v>65</v>
      </c>
      <c r="B42" s="3" t="s">
        <v>66</v>
      </c>
    </row>
    <row r="44" spans="1:13" ht="15.75" customHeight="1" x14ac:dyDescent="0.25">
      <c r="A44" s="1" t="s">
        <v>67</v>
      </c>
    </row>
    <row r="45" spans="1:13" ht="17.45" customHeight="1" x14ac:dyDescent="0.15">
      <c r="A45" s="2" t="s">
        <v>68</v>
      </c>
      <c r="B45" s="3" t="s">
        <v>69</v>
      </c>
    </row>
    <row r="46" spans="1:13" ht="17.45" customHeight="1" x14ac:dyDescent="0.15">
      <c r="A46" s="2" t="s">
        <v>70</v>
      </c>
      <c r="B46" s="3" t="s">
        <v>71</v>
      </c>
    </row>
    <row r="47" spans="1:13" ht="30.95" customHeight="1" x14ac:dyDescent="0.15">
      <c r="A47" s="2" t="s">
        <v>72</v>
      </c>
      <c r="B47" s="3" t="s">
        <v>73</v>
      </c>
    </row>
    <row r="48" spans="1:13" ht="17.45" customHeight="1" x14ac:dyDescent="0.15">
      <c r="A48" s="2" t="s">
        <v>74</v>
      </c>
      <c r="B48" s="3" t="s">
        <v>75</v>
      </c>
    </row>
  </sheetData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workbookViewId="0">
      <pane xSplit="3" ySplit="3" topLeftCell="D31" activePane="bottomRight" state="frozen"/>
      <selection activeCell="B23" sqref="B23"/>
      <selection pane="topRight" activeCell="B23" sqref="B23"/>
      <selection pane="bottomLeft" activeCell="B23" sqref="B23"/>
      <selection pane="bottomRight" activeCell="K40" sqref="K40"/>
    </sheetView>
  </sheetViews>
  <sheetFormatPr defaultRowHeight="13.5" x14ac:dyDescent="0.15"/>
  <cols>
    <col min="1" max="1" width="7" customWidth="1"/>
    <col min="2" max="2" width="8" customWidth="1"/>
    <col min="3" max="3" width="30" customWidth="1"/>
    <col min="4" max="4" width="13" customWidth="1"/>
    <col min="5" max="6" width="12" customWidth="1"/>
    <col min="7" max="7" width="11" customWidth="1"/>
    <col min="8" max="8" width="60" customWidth="1"/>
    <col min="9" max="9" width="52" customWidth="1"/>
    <col min="10" max="10" width="12" customWidth="1"/>
    <col min="11" max="11" width="11" customWidth="1"/>
    <col min="12" max="13" width="12" customWidth="1"/>
    <col min="14" max="14" width="42" customWidth="1"/>
  </cols>
  <sheetData>
    <row r="1" spans="1:14" ht="18" customHeight="1" x14ac:dyDescent="0.25">
      <c r="A1" s="4" t="s">
        <v>76</v>
      </c>
    </row>
    <row r="2" spans="1:14" ht="14.25" customHeight="1" x14ac:dyDescent="0.2">
      <c r="A2" s="5" t="s">
        <v>77</v>
      </c>
    </row>
    <row r="3" spans="1:14" x14ac:dyDescent="0.15">
      <c r="A3" s="6" t="s">
        <v>78</v>
      </c>
      <c r="B3" s="6" t="s">
        <v>79</v>
      </c>
      <c r="C3" s="6" t="s">
        <v>80</v>
      </c>
      <c r="D3" s="6" t="s">
        <v>81</v>
      </c>
      <c r="E3" s="6" t="s">
        <v>82</v>
      </c>
      <c r="F3" s="6" t="s">
        <v>83</v>
      </c>
      <c r="G3" s="6" t="s">
        <v>84</v>
      </c>
      <c r="H3" s="6" t="s">
        <v>85</v>
      </c>
      <c r="I3" s="6" t="s">
        <v>86</v>
      </c>
      <c r="J3" s="6" t="s">
        <v>87</v>
      </c>
      <c r="K3" s="6" t="s">
        <v>88</v>
      </c>
      <c r="L3" s="6" t="s">
        <v>89</v>
      </c>
      <c r="M3" s="6" t="s">
        <v>90</v>
      </c>
      <c r="N3" s="6" t="s">
        <v>91</v>
      </c>
    </row>
    <row r="4" spans="1:14" ht="20.100000000000001" customHeight="1" x14ac:dyDescent="0.15">
      <c r="A4" s="23" t="s">
        <v>92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44.45" customHeight="1" x14ac:dyDescent="0.15">
      <c r="A5" s="7" t="s">
        <v>93</v>
      </c>
      <c r="B5" s="8" t="s">
        <v>94</v>
      </c>
      <c r="C5" s="8" t="s">
        <v>95</v>
      </c>
      <c r="D5" s="8" t="s">
        <v>96</v>
      </c>
      <c r="E5" s="8" t="s">
        <v>96</v>
      </c>
      <c r="F5" s="8" t="s">
        <v>97</v>
      </c>
      <c r="G5" s="8" t="s">
        <v>98</v>
      </c>
      <c r="H5" s="8" t="s">
        <v>99</v>
      </c>
      <c r="I5" s="8" t="s">
        <v>100</v>
      </c>
      <c r="J5" s="8"/>
      <c r="K5" s="9" t="s">
        <v>19</v>
      </c>
      <c r="L5" s="22" t="s">
        <v>289</v>
      </c>
      <c r="M5" s="10">
        <v>46323</v>
      </c>
      <c r="N5" s="9"/>
    </row>
    <row r="6" spans="1:14" ht="44.45" customHeight="1" x14ac:dyDescent="0.15">
      <c r="A6" s="7" t="s">
        <v>101</v>
      </c>
      <c r="B6" s="8" t="s">
        <v>102</v>
      </c>
      <c r="C6" s="8" t="s">
        <v>103</v>
      </c>
      <c r="D6" s="8" t="s">
        <v>96</v>
      </c>
      <c r="E6" s="8" t="s">
        <v>96</v>
      </c>
      <c r="F6" s="8" t="s">
        <v>97</v>
      </c>
      <c r="G6" s="8" t="s">
        <v>104</v>
      </c>
      <c r="H6" s="8" t="s">
        <v>105</v>
      </c>
      <c r="I6" s="8" t="s">
        <v>106</v>
      </c>
      <c r="J6" s="8"/>
      <c r="K6" s="9" t="s">
        <v>19</v>
      </c>
      <c r="L6" s="22" t="s">
        <v>289</v>
      </c>
      <c r="M6" s="10">
        <v>46323</v>
      </c>
      <c r="N6" s="9"/>
    </row>
    <row r="7" spans="1:14" ht="30.95" customHeight="1" x14ac:dyDescent="0.15">
      <c r="A7" s="7" t="s">
        <v>107</v>
      </c>
      <c r="B7" s="8" t="s">
        <v>102</v>
      </c>
      <c r="C7" s="11" t="s">
        <v>103</v>
      </c>
      <c r="D7" s="11" t="s">
        <v>96</v>
      </c>
      <c r="E7" s="11" t="s">
        <v>96</v>
      </c>
      <c r="F7" s="11" t="s">
        <v>108</v>
      </c>
      <c r="G7" s="11" t="s">
        <v>104</v>
      </c>
      <c r="H7" s="8" t="s">
        <v>109</v>
      </c>
      <c r="I7" s="8" t="s">
        <v>110</v>
      </c>
      <c r="J7" s="8"/>
      <c r="K7" s="9" t="s">
        <v>19</v>
      </c>
      <c r="L7" s="22" t="s">
        <v>289</v>
      </c>
      <c r="M7" s="10">
        <v>46323</v>
      </c>
      <c r="N7" s="9"/>
    </row>
    <row r="8" spans="1:14" ht="30.95" customHeight="1" x14ac:dyDescent="0.15">
      <c r="A8" s="7" t="s">
        <v>111</v>
      </c>
      <c r="B8" s="8" t="s">
        <v>112</v>
      </c>
      <c r="C8" s="8" t="s">
        <v>113</v>
      </c>
      <c r="D8" s="8" t="s">
        <v>96</v>
      </c>
      <c r="E8" s="8" t="s">
        <v>96</v>
      </c>
      <c r="F8" s="8" t="s">
        <v>114</v>
      </c>
      <c r="G8" s="8" t="s">
        <v>104</v>
      </c>
      <c r="H8" s="8" t="s">
        <v>115</v>
      </c>
      <c r="I8" s="8" t="s">
        <v>116</v>
      </c>
      <c r="J8" s="8"/>
      <c r="K8" s="9" t="s">
        <v>19</v>
      </c>
      <c r="L8" s="22" t="s">
        <v>289</v>
      </c>
      <c r="M8" s="10">
        <v>46323</v>
      </c>
      <c r="N8" s="9"/>
    </row>
    <row r="9" spans="1:14" ht="44.45" customHeight="1" x14ac:dyDescent="0.15">
      <c r="A9" s="7" t="s">
        <v>117</v>
      </c>
      <c r="B9" s="8" t="s">
        <v>118</v>
      </c>
      <c r="C9" s="8" t="s">
        <v>119</v>
      </c>
      <c r="D9" s="8" t="s">
        <v>96</v>
      </c>
      <c r="E9" s="8" t="s">
        <v>96</v>
      </c>
      <c r="F9" s="8" t="s">
        <v>114</v>
      </c>
      <c r="G9" s="8" t="s">
        <v>104</v>
      </c>
      <c r="H9" s="8" t="s">
        <v>120</v>
      </c>
      <c r="I9" s="8" t="s">
        <v>121</v>
      </c>
      <c r="J9" s="8"/>
      <c r="K9" s="9" t="s">
        <v>19</v>
      </c>
      <c r="L9" s="22" t="s">
        <v>289</v>
      </c>
      <c r="M9" s="10">
        <v>46323</v>
      </c>
      <c r="N9" s="22" t="s">
        <v>290</v>
      </c>
    </row>
    <row r="10" spans="1:14" ht="44.45" customHeight="1" x14ac:dyDescent="0.15">
      <c r="A10" s="7" t="s">
        <v>122</v>
      </c>
      <c r="B10" s="8" t="s">
        <v>118</v>
      </c>
      <c r="C10" s="11" t="s">
        <v>119</v>
      </c>
      <c r="D10" s="11" t="s">
        <v>96</v>
      </c>
      <c r="E10" s="11" t="s">
        <v>96</v>
      </c>
      <c r="F10" s="11" t="s">
        <v>114</v>
      </c>
      <c r="G10" s="11" t="s">
        <v>104</v>
      </c>
      <c r="H10" s="8" t="s">
        <v>123</v>
      </c>
      <c r="I10" s="8" t="s">
        <v>124</v>
      </c>
      <c r="J10" s="8" t="s">
        <v>125</v>
      </c>
      <c r="K10" s="9" t="s">
        <v>19</v>
      </c>
      <c r="L10" s="22" t="s">
        <v>289</v>
      </c>
      <c r="M10" s="10">
        <v>46323</v>
      </c>
      <c r="N10" s="9"/>
    </row>
    <row r="11" spans="1:14" ht="44.45" customHeight="1" x14ac:dyDescent="0.15">
      <c r="A11" s="7" t="s">
        <v>126</v>
      </c>
      <c r="B11" s="8" t="s">
        <v>127</v>
      </c>
      <c r="C11" s="8" t="s">
        <v>128</v>
      </c>
      <c r="D11" s="8" t="s">
        <v>96</v>
      </c>
      <c r="E11" s="8" t="s">
        <v>96</v>
      </c>
      <c r="F11" s="8" t="s">
        <v>114</v>
      </c>
      <c r="G11" s="8" t="s">
        <v>104</v>
      </c>
      <c r="H11" s="8" t="s">
        <v>129</v>
      </c>
      <c r="I11" s="8" t="s">
        <v>130</v>
      </c>
      <c r="J11" s="8"/>
      <c r="K11" s="9" t="s">
        <v>19</v>
      </c>
      <c r="L11" s="22" t="s">
        <v>289</v>
      </c>
      <c r="M11" s="10">
        <v>46323</v>
      </c>
      <c r="N11" s="9"/>
    </row>
    <row r="12" spans="1:14" ht="20.100000000000001" customHeight="1" x14ac:dyDescent="0.15">
      <c r="A12" s="23" t="s">
        <v>131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30.95" customHeight="1" x14ac:dyDescent="0.15">
      <c r="A13" s="7" t="s">
        <v>132</v>
      </c>
      <c r="B13" s="8" t="s">
        <v>133</v>
      </c>
      <c r="C13" s="8" t="s">
        <v>134</v>
      </c>
      <c r="D13" s="8" t="s">
        <v>135</v>
      </c>
      <c r="E13" s="8" t="s">
        <v>136</v>
      </c>
      <c r="F13" s="8" t="s">
        <v>114</v>
      </c>
      <c r="G13" s="8" t="s">
        <v>104</v>
      </c>
      <c r="H13" s="8" t="s">
        <v>137</v>
      </c>
      <c r="I13" s="8" t="s">
        <v>138</v>
      </c>
      <c r="J13" s="8"/>
      <c r="K13" s="9" t="s">
        <v>19</v>
      </c>
      <c r="L13" s="22" t="s">
        <v>289</v>
      </c>
      <c r="M13" s="10">
        <v>46323</v>
      </c>
      <c r="N13" s="9"/>
    </row>
    <row r="14" spans="1:14" ht="44.45" customHeight="1" x14ac:dyDescent="0.15">
      <c r="A14" s="7" t="s">
        <v>139</v>
      </c>
      <c r="B14" s="8" t="s">
        <v>133</v>
      </c>
      <c r="C14" s="11" t="s">
        <v>134</v>
      </c>
      <c r="D14" s="11" t="s">
        <v>135</v>
      </c>
      <c r="E14" s="11" t="s">
        <v>136</v>
      </c>
      <c r="F14" s="11" t="s">
        <v>114</v>
      </c>
      <c r="G14" s="11" t="s">
        <v>104</v>
      </c>
      <c r="H14" s="8" t="s">
        <v>140</v>
      </c>
      <c r="I14" s="8" t="s">
        <v>141</v>
      </c>
      <c r="J14" s="8"/>
      <c r="K14" s="9" t="s">
        <v>19</v>
      </c>
      <c r="L14" s="22" t="s">
        <v>289</v>
      </c>
      <c r="M14" s="10">
        <v>46323</v>
      </c>
      <c r="N14" s="9"/>
    </row>
    <row r="15" spans="1:14" ht="30.95" customHeight="1" x14ac:dyDescent="0.15">
      <c r="A15" s="7" t="s">
        <v>142</v>
      </c>
      <c r="B15" s="8" t="s">
        <v>133</v>
      </c>
      <c r="C15" s="11" t="s">
        <v>134</v>
      </c>
      <c r="D15" s="11" t="s">
        <v>135</v>
      </c>
      <c r="E15" s="11" t="s">
        <v>136</v>
      </c>
      <c r="F15" s="11" t="s">
        <v>114</v>
      </c>
      <c r="G15" s="11" t="s">
        <v>104</v>
      </c>
      <c r="H15" s="8" t="s">
        <v>143</v>
      </c>
      <c r="I15" s="8" t="s">
        <v>144</v>
      </c>
      <c r="J15" s="8"/>
      <c r="K15" s="9" t="s">
        <v>19</v>
      </c>
      <c r="L15" s="22" t="s">
        <v>289</v>
      </c>
      <c r="M15" s="10">
        <v>46323</v>
      </c>
      <c r="N15" s="9"/>
    </row>
    <row r="16" spans="1:14" ht="44.45" customHeight="1" x14ac:dyDescent="0.15">
      <c r="A16" s="7" t="s">
        <v>145</v>
      </c>
      <c r="B16" s="8" t="s">
        <v>133</v>
      </c>
      <c r="C16" s="11" t="s">
        <v>134</v>
      </c>
      <c r="D16" s="11" t="s">
        <v>135</v>
      </c>
      <c r="E16" s="11" t="s">
        <v>136</v>
      </c>
      <c r="F16" s="11" t="s">
        <v>114</v>
      </c>
      <c r="G16" s="11" t="s">
        <v>104</v>
      </c>
      <c r="H16" s="8" t="s">
        <v>146</v>
      </c>
      <c r="I16" s="8" t="s">
        <v>147</v>
      </c>
      <c r="J16" s="8"/>
      <c r="K16" s="9" t="s">
        <v>19</v>
      </c>
      <c r="L16" s="22" t="s">
        <v>289</v>
      </c>
      <c r="M16" s="10">
        <v>46323</v>
      </c>
      <c r="N16" s="9"/>
    </row>
    <row r="17" spans="1:14" ht="44.45" customHeight="1" x14ac:dyDescent="0.15">
      <c r="A17" s="7" t="s">
        <v>148</v>
      </c>
      <c r="B17" s="8" t="s">
        <v>149</v>
      </c>
      <c r="C17" s="8" t="s">
        <v>150</v>
      </c>
      <c r="D17" s="8" t="s">
        <v>135</v>
      </c>
      <c r="E17" s="8" t="s">
        <v>136</v>
      </c>
      <c r="F17" s="8" t="s">
        <v>97</v>
      </c>
      <c r="G17" s="8" t="s">
        <v>104</v>
      </c>
      <c r="H17" s="8" t="s">
        <v>151</v>
      </c>
      <c r="I17" s="8" t="s">
        <v>152</v>
      </c>
      <c r="J17" s="8" t="s">
        <v>125</v>
      </c>
      <c r="K17" s="9" t="s">
        <v>19</v>
      </c>
      <c r="L17" s="22" t="s">
        <v>289</v>
      </c>
      <c r="M17" s="10">
        <v>46323</v>
      </c>
      <c r="N17" s="9"/>
    </row>
    <row r="18" spans="1:14" ht="30.95" customHeight="1" x14ac:dyDescent="0.15">
      <c r="A18" s="7" t="s">
        <v>153</v>
      </c>
      <c r="B18" s="8" t="s">
        <v>154</v>
      </c>
      <c r="C18" s="8" t="s">
        <v>155</v>
      </c>
      <c r="D18" s="8" t="s">
        <v>135</v>
      </c>
      <c r="E18" s="8" t="s">
        <v>136</v>
      </c>
      <c r="F18" s="8" t="s">
        <v>108</v>
      </c>
      <c r="G18" s="8" t="s">
        <v>104</v>
      </c>
      <c r="H18" s="8" t="s">
        <v>156</v>
      </c>
      <c r="I18" s="8" t="s">
        <v>157</v>
      </c>
      <c r="J18" s="8" t="s">
        <v>125</v>
      </c>
      <c r="K18" s="9" t="s">
        <v>19</v>
      </c>
      <c r="L18" s="22" t="s">
        <v>289</v>
      </c>
      <c r="M18" s="10">
        <v>46323</v>
      </c>
      <c r="N18" s="9"/>
    </row>
    <row r="19" spans="1:14" ht="20.100000000000001" customHeight="1" x14ac:dyDescent="0.15">
      <c r="A19" s="23" t="s">
        <v>158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57.95" customHeight="1" x14ac:dyDescent="0.15">
      <c r="A20" s="7" t="s">
        <v>159</v>
      </c>
      <c r="B20" s="8" t="s">
        <v>160</v>
      </c>
      <c r="C20" s="8" t="s">
        <v>161</v>
      </c>
      <c r="D20" s="8" t="s">
        <v>162</v>
      </c>
      <c r="E20" s="8" t="s">
        <v>136</v>
      </c>
      <c r="F20" s="8" t="s">
        <v>114</v>
      </c>
      <c r="G20" s="8" t="s">
        <v>104</v>
      </c>
      <c r="H20" s="8" t="s">
        <v>163</v>
      </c>
      <c r="I20" s="8" t="s">
        <v>164</v>
      </c>
      <c r="J20" s="8"/>
      <c r="K20" s="9" t="s">
        <v>19</v>
      </c>
      <c r="L20" s="22" t="s">
        <v>289</v>
      </c>
      <c r="M20" s="10">
        <v>46323</v>
      </c>
      <c r="N20" s="9"/>
    </row>
    <row r="21" spans="1:14" ht="30.95" customHeight="1" x14ac:dyDescent="0.15">
      <c r="A21" s="7" t="s">
        <v>165</v>
      </c>
      <c r="B21" s="8" t="s">
        <v>160</v>
      </c>
      <c r="C21" s="11" t="s">
        <v>161</v>
      </c>
      <c r="D21" s="11" t="s">
        <v>162</v>
      </c>
      <c r="E21" s="11" t="s">
        <v>136</v>
      </c>
      <c r="F21" s="11" t="s">
        <v>114</v>
      </c>
      <c r="G21" s="11" t="s">
        <v>166</v>
      </c>
      <c r="H21" s="8" t="s">
        <v>167</v>
      </c>
      <c r="I21" s="8" t="s">
        <v>168</v>
      </c>
      <c r="J21" s="8"/>
      <c r="K21" s="9" t="s">
        <v>19</v>
      </c>
      <c r="L21" s="22" t="s">
        <v>289</v>
      </c>
      <c r="M21" s="10">
        <v>46323</v>
      </c>
      <c r="N21" s="9"/>
    </row>
    <row r="22" spans="1:14" ht="30.95" customHeight="1" x14ac:dyDescent="0.15">
      <c r="A22" s="7" t="s">
        <v>169</v>
      </c>
      <c r="B22" s="8" t="s">
        <v>160</v>
      </c>
      <c r="C22" s="11" t="s">
        <v>161</v>
      </c>
      <c r="D22" s="11" t="s">
        <v>162</v>
      </c>
      <c r="E22" s="11" t="s">
        <v>136</v>
      </c>
      <c r="F22" s="11" t="s">
        <v>114</v>
      </c>
      <c r="G22" s="11" t="s">
        <v>104</v>
      </c>
      <c r="H22" s="8" t="s">
        <v>170</v>
      </c>
      <c r="I22" s="8" t="s">
        <v>171</v>
      </c>
      <c r="J22" s="8"/>
      <c r="K22" s="9" t="s">
        <v>19</v>
      </c>
      <c r="L22" s="22" t="s">
        <v>289</v>
      </c>
      <c r="M22" s="10">
        <v>46323</v>
      </c>
      <c r="N22" s="9"/>
    </row>
    <row r="23" spans="1:14" ht="30.95" customHeight="1" x14ac:dyDescent="0.15">
      <c r="A23" s="7" t="s">
        <v>172</v>
      </c>
      <c r="B23" s="8" t="s">
        <v>288</v>
      </c>
      <c r="C23" s="11" t="s">
        <v>161</v>
      </c>
      <c r="D23" s="11" t="s">
        <v>162</v>
      </c>
      <c r="E23" s="11" t="s">
        <v>136</v>
      </c>
      <c r="F23" s="11" t="s">
        <v>114</v>
      </c>
      <c r="G23" s="11" t="s">
        <v>104</v>
      </c>
      <c r="H23" s="8" t="s">
        <v>173</v>
      </c>
      <c r="I23" s="8" t="s">
        <v>174</v>
      </c>
      <c r="J23" s="8" t="s">
        <v>125</v>
      </c>
      <c r="K23" s="9" t="s">
        <v>19</v>
      </c>
      <c r="L23" s="22" t="s">
        <v>289</v>
      </c>
      <c r="M23" s="10">
        <v>46323</v>
      </c>
      <c r="N23" s="9"/>
    </row>
    <row r="24" spans="1:14" ht="20.100000000000001" customHeight="1" x14ac:dyDescent="0.15">
      <c r="A24" s="23" t="s">
        <v>175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30.95" customHeight="1" x14ac:dyDescent="0.15">
      <c r="A25" s="7" t="s">
        <v>176</v>
      </c>
      <c r="B25" s="8" t="s">
        <v>177</v>
      </c>
      <c r="C25" s="8" t="s">
        <v>178</v>
      </c>
      <c r="D25" s="8" t="s">
        <v>179</v>
      </c>
      <c r="E25" s="8" t="s">
        <v>136</v>
      </c>
      <c r="F25" s="8" t="s">
        <v>108</v>
      </c>
      <c r="G25" s="8" t="s">
        <v>104</v>
      </c>
      <c r="H25" s="8" t="s">
        <v>180</v>
      </c>
      <c r="I25" s="8" t="s">
        <v>181</v>
      </c>
      <c r="J25" s="8"/>
      <c r="K25" s="9" t="s">
        <v>19</v>
      </c>
      <c r="L25" s="22" t="s">
        <v>289</v>
      </c>
      <c r="M25" s="10">
        <v>46323</v>
      </c>
      <c r="N25" s="9"/>
    </row>
    <row r="26" spans="1:14" ht="30.95" customHeight="1" x14ac:dyDescent="0.15">
      <c r="A26" s="7" t="s">
        <v>182</v>
      </c>
      <c r="B26" s="8" t="s">
        <v>177</v>
      </c>
      <c r="C26" s="11" t="s">
        <v>178</v>
      </c>
      <c r="D26" s="11" t="s">
        <v>179</v>
      </c>
      <c r="E26" s="11" t="s">
        <v>136</v>
      </c>
      <c r="F26" s="11" t="s">
        <v>97</v>
      </c>
      <c r="G26" s="11" t="s">
        <v>104</v>
      </c>
      <c r="H26" s="8" t="s">
        <v>183</v>
      </c>
      <c r="I26" s="8" t="s">
        <v>184</v>
      </c>
      <c r="J26" s="8"/>
      <c r="K26" s="9" t="s">
        <v>19</v>
      </c>
      <c r="L26" s="22" t="s">
        <v>289</v>
      </c>
      <c r="M26" s="10">
        <v>46323</v>
      </c>
      <c r="N26" s="9"/>
    </row>
    <row r="27" spans="1:14" ht="44.45" customHeight="1" x14ac:dyDescent="0.15">
      <c r="A27" s="7" t="s">
        <v>185</v>
      </c>
      <c r="B27" s="8" t="s">
        <v>177</v>
      </c>
      <c r="C27" s="11" t="s">
        <v>178</v>
      </c>
      <c r="D27" s="11" t="s">
        <v>179</v>
      </c>
      <c r="E27" s="11" t="s">
        <v>136</v>
      </c>
      <c r="F27" s="11" t="s">
        <v>114</v>
      </c>
      <c r="G27" s="11" t="s">
        <v>104</v>
      </c>
      <c r="H27" s="8" t="s">
        <v>186</v>
      </c>
      <c r="I27" s="8" t="s">
        <v>187</v>
      </c>
      <c r="J27" s="8"/>
      <c r="K27" s="9" t="s">
        <v>19</v>
      </c>
      <c r="L27" s="22" t="s">
        <v>289</v>
      </c>
      <c r="M27" s="10">
        <v>46323</v>
      </c>
      <c r="N27" s="9"/>
    </row>
    <row r="28" spans="1:14" ht="44.45" customHeight="1" x14ac:dyDescent="0.15">
      <c r="A28" s="7" t="s">
        <v>188</v>
      </c>
      <c r="B28" s="8" t="s">
        <v>177</v>
      </c>
      <c r="C28" s="11" t="s">
        <v>178</v>
      </c>
      <c r="D28" s="11" t="s">
        <v>179</v>
      </c>
      <c r="E28" s="11" t="s">
        <v>136</v>
      </c>
      <c r="F28" s="11" t="s">
        <v>114</v>
      </c>
      <c r="G28" s="11" t="s">
        <v>104</v>
      </c>
      <c r="H28" s="8" t="s">
        <v>189</v>
      </c>
      <c r="I28" s="8" t="s">
        <v>190</v>
      </c>
      <c r="J28" s="8" t="s">
        <v>125</v>
      </c>
      <c r="K28" s="9" t="s">
        <v>19</v>
      </c>
      <c r="L28" s="22" t="s">
        <v>289</v>
      </c>
      <c r="M28" s="10">
        <v>46323</v>
      </c>
      <c r="N28" s="9"/>
    </row>
    <row r="29" spans="1:14" ht="20.100000000000001" customHeight="1" x14ac:dyDescent="0.15">
      <c r="A29" s="23" t="s">
        <v>191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44.45" customHeight="1" x14ac:dyDescent="0.15">
      <c r="A30" s="7" t="s">
        <v>192</v>
      </c>
      <c r="B30" s="8" t="s">
        <v>193</v>
      </c>
      <c r="C30" s="8" t="s">
        <v>194</v>
      </c>
      <c r="D30" s="8" t="s">
        <v>195</v>
      </c>
      <c r="E30" s="8" t="s">
        <v>196</v>
      </c>
      <c r="F30" s="8" t="s">
        <v>97</v>
      </c>
      <c r="G30" s="8" t="s">
        <v>104</v>
      </c>
      <c r="H30" s="8" t="s">
        <v>197</v>
      </c>
      <c r="I30" s="8" t="s">
        <v>198</v>
      </c>
      <c r="J30" s="8" t="s">
        <v>125</v>
      </c>
      <c r="K30" s="9" t="s">
        <v>19</v>
      </c>
      <c r="L30" s="22" t="s">
        <v>289</v>
      </c>
      <c r="M30" s="10">
        <v>46323</v>
      </c>
      <c r="N30" s="9"/>
    </row>
    <row r="31" spans="1:14" ht="30.95" customHeight="1" x14ac:dyDescent="0.15">
      <c r="A31" s="7" t="s">
        <v>199</v>
      </c>
      <c r="B31" s="8" t="s">
        <v>193</v>
      </c>
      <c r="C31" s="11" t="s">
        <v>194</v>
      </c>
      <c r="D31" s="11" t="s">
        <v>195</v>
      </c>
      <c r="E31" s="11" t="s">
        <v>196</v>
      </c>
      <c r="F31" s="11" t="s">
        <v>97</v>
      </c>
      <c r="G31" s="11" t="s">
        <v>104</v>
      </c>
      <c r="H31" s="8" t="s">
        <v>200</v>
      </c>
      <c r="I31" s="8" t="s">
        <v>201</v>
      </c>
      <c r="J31" s="8" t="s">
        <v>125</v>
      </c>
      <c r="K31" s="9" t="s">
        <v>19</v>
      </c>
      <c r="L31" s="22" t="s">
        <v>289</v>
      </c>
      <c r="M31" s="10">
        <v>46323</v>
      </c>
      <c r="N31" s="9"/>
    </row>
    <row r="32" spans="1:14" ht="44.45" customHeight="1" x14ac:dyDescent="0.15">
      <c r="A32" s="7" t="s">
        <v>202</v>
      </c>
      <c r="B32" s="8" t="s">
        <v>193</v>
      </c>
      <c r="C32" s="11" t="s">
        <v>194</v>
      </c>
      <c r="D32" s="11" t="s">
        <v>195</v>
      </c>
      <c r="E32" s="11" t="s">
        <v>196</v>
      </c>
      <c r="F32" s="11" t="s">
        <v>97</v>
      </c>
      <c r="G32" s="11" t="s">
        <v>104</v>
      </c>
      <c r="H32" s="8" t="s">
        <v>203</v>
      </c>
      <c r="I32" s="8" t="s">
        <v>204</v>
      </c>
      <c r="J32" s="8" t="s">
        <v>125</v>
      </c>
      <c r="K32" s="9" t="s">
        <v>19</v>
      </c>
      <c r="L32" s="22" t="s">
        <v>289</v>
      </c>
      <c r="M32" s="10">
        <v>46323</v>
      </c>
      <c r="N32" s="9"/>
    </row>
    <row r="33" spans="1:14" ht="20.100000000000001" customHeight="1" x14ac:dyDescent="0.15">
      <c r="A33" s="23" t="s">
        <v>205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44.45" customHeight="1" x14ac:dyDescent="0.15">
      <c r="A34" s="7" t="s">
        <v>206</v>
      </c>
      <c r="B34" s="8" t="s">
        <v>207</v>
      </c>
      <c r="C34" s="8" t="s">
        <v>208</v>
      </c>
      <c r="D34" s="8" t="s">
        <v>209</v>
      </c>
      <c r="E34" s="8" t="s">
        <v>210</v>
      </c>
      <c r="F34" s="8" t="s">
        <v>211</v>
      </c>
      <c r="G34" s="8" t="s">
        <v>98</v>
      </c>
      <c r="H34" s="8" t="s">
        <v>212</v>
      </c>
      <c r="I34" s="8" t="s">
        <v>213</v>
      </c>
      <c r="J34" s="8"/>
      <c r="K34" s="9" t="s">
        <v>19</v>
      </c>
      <c r="L34" s="22" t="s">
        <v>289</v>
      </c>
      <c r="M34" s="10">
        <v>46323</v>
      </c>
      <c r="N34" s="9"/>
    </row>
    <row r="35" spans="1:14" ht="44.45" customHeight="1" x14ac:dyDescent="0.15">
      <c r="A35" s="7" t="s">
        <v>214</v>
      </c>
      <c r="B35" s="8" t="s">
        <v>207</v>
      </c>
      <c r="C35" s="11" t="s">
        <v>208</v>
      </c>
      <c r="D35" s="11" t="s">
        <v>209</v>
      </c>
      <c r="E35" s="11" t="s">
        <v>210</v>
      </c>
      <c r="F35" s="11" t="s">
        <v>211</v>
      </c>
      <c r="G35" s="11" t="s">
        <v>98</v>
      </c>
      <c r="H35" s="8" t="s">
        <v>215</v>
      </c>
      <c r="I35" s="8" t="s">
        <v>216</v>
      </c>
      <c r="J35" s="8"/>
      <c r="K35" s="9" t="s">
        <v>19</v>
      </c>
      <c r="L35" s="22" t="s">
        <v>289</v>
      </c>
      <c r="M35" s="10">
        <v>46323</v>
      </c>
      <c r="N35" s="9"/>
    </row>
    <row r="36" spans="1:14" ht="44.45" customHeight="1" x14ac:dyDescent="0.15">
      <c r="A36" s="7" t="s">
        <v>217</v>
      </c>
      <c r="B36" s="8" t="s">
        <v>207</v>
      </c>
      <c r="C36" s="11" t="s">
        <v>208</v>
      </c>
      <c r="D36" s="11" t="s">
        <v>209</v>
      </c>
      <c r="E36" s="11" t="s">
        <v>210</v>
      </c>
      <c r="F36" s="11" t="s">
        <v>211</v>
      </c>
      <c r="G36" s="11" t="s">
        <v>98</v>
      </c>
      <c r="H36" s="8" t="s">
        <v>218</v>
      </c>
      <c r="I36" s="8" t="s">
        <v>219</v>
      </c>
      <c r="J36" s="8"/>
      <c r="K36" s="9" t="s">
        <v>19</v>
      </c>
      <c r="L36" s="22" t="s">
        <v>289</v>
      </c>
      <c r="M36" s="10">
        <v>46323</v>
      </c>
      <c r="N36" s="9"/>
    </row>
    <row r="37" spans="1:14" ht="20.100000000000001" customHeight="1" x14ac:dyDescent="0.15">
      <c r="A37" s="23" t="s">
        <v>220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44.45" customHeight="1" x14ac:dyDescent="0.15">
      <c r="A38" s="7" t="s">
        <v>221</v>
      </c>
      <c r="B38" s="8" t="s">
        <v>222</v>
      </c>
      <c r="C38" s="8" t="s">
        <v>223</v>
      </c>
      <c r="D38" s="8" t="s">
        <v>210</v>
      </c>
      <c r="E38" s="8" t="s">
        <v>98</v>
      </c>
      <c r="F38" s="8" t="s">
        <v>114</v>
      </c>
      <c r="G38" s="8" t="s">
        <v>98</v>
      </c>
      <c r="H38" s="8" t="s">
        <v>224</v>
      </c>
      <c r="I38" s="8" t="s">
        <v>225</v>
      </c>
      <c r="J38" s="8"/>
      <c r="K38" s="9" t="s">
        <v>19</v>
      </c>
      <c r="L38" s="22" t="s">
        <v>289</v>
      </c>
      <c r="M38" s="10">
        <v>46323</v>
      </c>
      <c r="N38" s="9"/>
    </row>
    <row r="39" spans="1:14" ht="30.95" customHeight="1" x14ac:dyDescent="0.15">
      <c r="A39" s="7" t="s">
        <v>226</v>
      </c>
      <c r="B39" s="8" t="s">
        <v>222</v>
      </c>
      <c r="C39" s="11" t="s">
        <v>223</v>
      </c>
      <c r="D39" s="11" t="s">
        <v>210</v>
      </c>
      <c r="E39" s="11" t="s">
        <v>98</v>
      </c>
      <c r="F39" s="11" t="s">
        <v>114</v>
      </c>
      <c r="G39" s="11" t="s">
        <v>98</v>
      </c>
      <c r="H39" s="8" t="s">
        <v>227</v>
      </c>
      <c r="I39" s="8" t="s">
        <v>228</v>
      </c>
      <c r="J39" s="8" t="s">
        <v>125</v>
      </c>
      <c r="K39" s="9" t="s">
        <v>19</v>
      </c>
      <c r="L39" s="22" t="s">
        <v>289</v>
      </c>
      <c r="M39" s="10">
        <v>46323</v>
      </c>
      <c r="N39" s="9"/>
    </row>
  </sheetData>
  <autoFilter ref="A3:N39" xr:uid="{00000000-0009-0000-0000-000001000000}"/>
  <mergeCells count="7">
    <mergeCell ref="A37:N37"/>
    <mergeCell ref="A12:N12"/>
    <mergeCell ref="A4:N4"/>
    <mergeCell ref="A24:N24"/>
    <mergeCell ref="A29:N29"/>
    <mergeCell ref="A33:N33"/>
    <mergeCell ref="A19:N19"/>
  </mergeCells>
  <phoneticPr fontId="9"/>
  <conditionalFormatting sqref="K4:K39">
    <cfRule type="cellIs" dxfId="9" priority="1" operator="equal">
      <formula>"Pass"</formula>
    </cfRule>
    <cfRule type="cellIs" dxfId="8" priority="2" operator="equal">
      <formula>"Fail"</formula>
    </cfRule>
    <cfRule type="expression" dxfId="7" priority="3">
      <formula>AND(ISLOGICAL(K4),K4=FALSE)</formula>
    </cfRule>
    <cfRule type="cellIs" dxfId="6" priority="4" operator="equal">
      <formula>"Blocked"</formula>
    </cfRule>
    <cfRule type="cellIs" dxfId="5" priority="5" operator="equal">
      <formula>"N/A"</formula>
    </cfRule>
    <cfRule type="cellIs" dxfId="4" priority="6" operator="equal">
      <formula>"Not run"</formula>
    </cfRule>
  </conditionalFormatting>
  <dataValidations count="2">
    <dataValidation type="list" allowBlank="1" sqref="K4:K39" xr:uid="{00000000-0002-0000-0100-000000000000}">
      <formula1>"Pass,Fail,Blocked,Not run,N/A"</formula1>
    </dataValidation>
    <dataValidation type="date" operator="greaterThan" allowBlank="1" sqref="M4:M39" xr:uid="{00000000-0002-0000-0100-000001000000}">
      <formula1>45900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8" customWidth="1"/>
    <col min="2" max="2" width="46" customWidth="1"/>
    <col min="3" max="3" width="16" customWidth="1"/>
    <col min="4" max="4" width="13" customWidth="1"/>
    <col min="5" max="5" width="8" customWidth="1"/>
    <col min="6" max="6" width="9" customWidth="1"/>
    <col min="7" max="8" width="7" customWidth="1"/>
    <col min="9" max="9" width="8" customWidth="1"/>
    <col min="10" max="10" width="7" customWidth="1"/>
    <col min="11" max="12" width="10" customWidth="1"/>
    <col min="13" max="13" width="9" customWidth="1"/>
    <col min="14" max="14" width="13" customWidth="1"/>
  </cols>
  <sheetData>
    <row r="1" spans="1:14" ht="18" customHeight="1" x14ac:dyDescent="0.25">
      <c r="A1" s="4" t="s">
        <v>229</v>
      </c>
    </row>
    <row r="2" spans="1:14" ht="14.25" customHeight="1" x14ac:dyDescent="0.2">
      <c r="A2" s="5" t="s">
        <v>230</v>
      </c>
    </row>
    <row r="4" spans="1:14" ht="25.5" customHeight="1" x14ac:dyDescent="0.15">
      <c r="A4" s="6" t="s">
        <v>79</v>
      </c>
      <c r="B4" s="6" t="s">
        <v>80</v>
      </c>
      <c r="C4" s="6" t="s">
        <v>81</v>
      </c>
      <c r="D4" s="6" t="s">
        <v>82</v>
      </c>
      <c r="E4" s="6" t="s">
        <v>231</v>
      </c>
      <c r="F4" s="6" t="s">
        <v>232</v>
      </c>
      <c r="G4" s="6" t="s">
        <v>19</v>
      </c>
      <c r="H4" s="6" t="s">
        <v>21</v>
      </c>
      <c r="I4" s="6" t="s">
        <v>23</v>
      </c>
      <c r="J4" s="6" t="s">
        <v>27</v>
      </c>
      <c r="K4" s="6" t="s">
        <v>233</v>
      </c>
      <c r="L4" s="6" t="s">
        <v>234</v>
      </c>
      <c r="M4" s="6" t="s">
        <v>235</v>
      </c>
      <c r="N4" s="6" t="s">
        <v>236</v>
      </c>
    </row>
    <row r="5" spans="1:14" x14ac:dyDescent="0.15">
      <c r="A5" s="12" t="s">
        <v>94</v>
      </c>
      <c r="B5" s="8" t="s">
        <v>95</v>
      </c>
      <c r="C5" s="8" t="s">
        <v>96</v>
      </c>
      <c r="D5" s="13" t="s">
        <v>96</v>
      </c>
      <c r="E5" s="13">
        <f>COUNTIF(Checklist!$B$4:$B$39,$A5)</f>
        <v>1</v>
      </c>
      <c r="F5" s="13">
        <f>COUNTIFS(Checklist!$B$4:$B$39,$A5,Checklist!$J$4:$J$39,"&lt;&gt;Yes")</f>
        <v>1</v>
      </c>
      <c r="G5" s="13">
        <f>COUNTIFS(Checklist!$B$4:$B$39,$A5,Checklist!$K$4:$K$39,"Pass")</f>
        <v>1</v>
      </c>
      <c r="H5" s="13">
        <f>COUNTIFS(Checklist!$B$4:$B$39,$A5,Checklist!$K$4:$K$39,"Fail")+COUNTIFS(Checklist!$B$4:$B$39,$A5,Checklist!$K$4:$K$39,FALSE)</f>
        <v>0</v>
      </c>
      <c r="I5" s="13">
        <f>COUNTIFS(Checklist!$B$4:$B$39,$A5,Checklist!$K$4:$K$39,"Blocked")</f>
        <v>0</v>
      </c>
      <c r="J5" s="13">
        <f>COUNTIFS(Checklist!$B$4:$B$39,$A5,Checklist!$K$4:$K$39,"N/A")</f>
        <v>0</v>
      </c>
      <c r="K5" s="13">
        <f t="shared" ref="K5:K17" si="0">E5-G5-H5-I5-J5</f>
        <v>0</v>
      </c>
      <c r="L5" s="13">
        <f>F5-COUNTIFS(Checklist!$B$4:$B$39,$A5,Checklist!$J$4:$J$39,"&lt;&gt;Yes",Checklist!$K$4:$K$39,"Pass")-COUNTIFS(Checklist!$B$4:$B$39,$A5,Checklist!$J$4:$J$39,"&lt;&gt;Yes",Checklist!$K$4:$K$39,"N/A")</f>
        <v>0</v>
      </c>
      <c r="M5" s="14">
        <f t="shared" ref="M5:M17" si="1">IF(E5=0,0,(G5+H5+I5+J5)/E5)</f>
        <v>1</v>
      </c>
      <c r="N5" s="13" t="str">
        <f t="shared" ref="N5:N17" si="2">IF(H5&gt;0,"Fail",IF(I5&gt;0,"Blocked",IF(L5=0,IF(F5=0,IF(G5+J5=0,"Optional","Pass"),"Pass"),IF(G5+J5=0,"Not started","In progress"))))</f>
        <v>Pass</v>
      </c>
    </row>
    <row r="6" spans="1:14" x14ac:dyDescent="0.15">
      <c r="A6" s="12" t="s">
        <v>102</v>
      </c>
      <c r="B6" s="8" t="s">
        <v>103</v>
      </c>
      <c r="C6" s="8" t="s">
        <v>96</v>
      </c>
      <c r="D6" s="13" t="s">
        <v>96</v>
      </c>
      <c r="E6" s="13">
        <f>COUNTIF(Checklist!$B$4:$B$39,$A6)</f>
        <v>2</v>
      </c>
      <c r="F6" s="13">
        <f>COUNTIFS(Checklist!$B$4:$B$39,$A6,Checklist!$J$4:$J$39,"&lt;&gt;Yes")</f>
        <v>2</v>
      </c>
      <c r="G6" s="13">
        <f>COUNTIFS(Checklist!$B$4:$B$39,$A6,Checklist!$K$4:$K$39,"Pass")</f>
        <v>2</v>
      </c>
      <c r="H6" s="13">
        <f>COUNTIFS(Checklist!$B$4:$B$39,$A6,Checklist!$K$4:$K$39,"Fail")+COUNTIFS(Checklist!$B$4:$B$39,$A6,Checklist!$K$4:$K$39,FALSE)</f>
        <v>0</v>
      </c>
      <c r="I6" s="13">
        <f>COUNTIFS(Checklist!$B$4:$B$39,$A6,Checklist!$K$4:$K$39,"Blocked")</f>
        <v>0</v>
      </c>
      <c r="J6" s="13">
        <f>COUNTIFS(Checklist!$B$4:$B$39,$A6,Checklist!$K$4:$K$39,"N/A")</f>
        <v>0</v>
      </c>
      <c r="K6" s="13">
        <f t="shared" si="0"/>
        <v>0</v>
      </c>
      <c r="L6" s="13">
        <f>F6-COUNTIFS(Checklist!$B$4:$B$39,$A6,Checklist!$J$4:$J$39,"&lt;&gt;Yes",Checklist!$K$4:$K$39,"Pass")-COUNTIFS(Checklist!$B$4:$B$39,$A6,Checklist!$J$4:$J$39,"&lt;&gt;Yes",Checklist!$K$4:$K$39,"N/A")</f>
        <v>0</v>
      </c>
      <c r="M6" s="14">
        <f t="shared" si="1"/>
        <v>1</v>
      </c>
      <c r="N6" s="13" t="str">
        <f t="shared" si="2"/>
        <v>Pass</v>
      </c>
    </row>
    <row r="7" spans="1:14" x14ac:dyDescent="0.15">
      <c r="A7" s="12" t="s">
        <v>112</v>
      </c>
      <c r="B7" s="8" t="s">
        <v>113</v>
      </c>
      <c r="C7" s="8" t="s">
        <v>96</v>
      </c>
      <c r="D7" s="13" t="s">
        <v>96</v>
      </c>
      <c r="E7" s="13">
        <f>COUNTIF(Checklist!$B$4:$B$39,$A7)</f>
        <v>1</v>
      </c>
      <c r="F7" s="13">
        <f>COUNTIFS(Checklist!$B$4:$B$39,$A7,Checklist!$J$4:$J$39,"&lt;&gt;Yes")</f>
        <v>1</v>
      </c>
      <c r="G7" s="13">
        <f>COUNTIFS(Checklist!$B$4:$B$39,$A7,Checklist!$K$4:$K$39,"Pass")</f>
        <v>1</v>
      </c>
      <c r="H7" s="13">
        <f>COUNTIFS(Checklist!$B$4:$B$39,$A7,Checklist!$K$4:$K$39,"Fail")+COUNTIFS(Checklist!$B$4:$B$39,$A7,Checklist!$K$4:$K$39,FALSE)</f>
        <v>0</v>
      </c>
      <c r="I7" s="13">
        <f>COUNTIFS(Checklist!$B$4:$B$39,$A7,Checklist!$K$4:$K$39,"Blocked")</f>
        <v>0</v>
      </c>
      <c r="J7" s="13">
        <f>COUNTIFS(Checklist!$B$4:$B$39,$A7,Checklist!$K$4:$K$39,"N/A")</f>
        <v>0</v>
      </c>
      <c r="K7" s="13">
        <f t="shared" si="0"/>
        <v>0</v>
      </c>
      <c r="L7" s="13">
        <f>F7-COUNTIFS(Checklist!$B$4:$B$39,$A7,Checklist!$J$4:$J$39,"&lt;&gt;Yes",Checklist!$K$4:$K$39,"Pass")-COUNTIFS(Checklist!$B$4:$B$39,$A7,Checklist!$J$4:$J$39,"&lt;&gt;Yes",Checklist!$K$4:$K$39,"N/A")</f>
        <v>0</v>
      </c>
      <c r="M7" s="14">
        <f t="shared" si="1"/>
        <v>1</v>
      </c>
      <c r="N7" s="13" t="str">
        <f t="shared" si="2"/>
        <v>Pass</v>
      </c>
    </row>
    <row r="8" spans="1:14" x14ac:dyDescent="0.15">
      <c r="A8" s="12" t="s">
        <v>118</v>
      </c>
      <c r="B8" s="8" t="s">
        <v>119</v>
      </c>
      <c r="C8" s="8" t="s">
        <v>96</v>
      </c>
      <c r="D8" s="13" t="s">
        <v>96</v>
      </c>
      <c r="E8" s="13">
        <f>COUNTIF(Checklist!$B$4:$B$39,$A8)</f>
        <v>2</v>
      </c>
      <c r="F8" s="13">
        <f>COUNTIFS(Checklist!$B$4:$B$39,$A8,Checklist!$J$4:$J$39,"&lt;&gt;Yes")</f>
        <v>1</v>
      </c>
      <c r="G8" s="13">
        <f>COUNTIFS(Checklist!$B$4:$B$39,$A8,Checklist!$K$4:$K$39,"Pass")</f>
        <v>2</v>
      </c>
      <c r="H8" s="13">
        <f>COUNTIFS(Checklist!$B$4:$B$39,$A8,Checklist!$K$4:$K$39,"Fail")+COUNTIFS(Checklist!$B$4:$B$39,$A8,Checklist!$K$4:$K$39,FALSE)</f>
        <v>0</v>
      </c>
      <c r="I8" s="13">
        <f>COUNTIFS(Checklist!$B$4:$B$39,$A8,Checklist!$K$4:$K$39,"Blocked")</f>
        <v>0</v>
      </c>
      <c r="J8" s="13">
        <f>COUNTIFS(Checklist!$B$4:$B$39,$A8,Checklist!$K$4:$K$39,"N/A")</f>
        <v>0</v>
      </c>
      <c r="K8" s="13">
        <f t="shared" si="0"/>
        <v>0</v>
      </c>
      <c r="L8" s="13">
        <f>F8-COUNTIFS(Checklist!$B$4:$B$39,$A8,Checklist!$J$4:$J$39,"&lt;&gt;Yes",Checklist!$K$4:$K$39,"Pass")-COUNTIFS(Checklist!$B$4:$B$39,$A8,Checklist!$J$4:$J$39,"&lt;&gt;Yes",Checklist!$K$4:$K$39,"N/A")</f>
        <v>0</v>
      </c>
      <c r="M8" s="14">
        <f t="shared" si="1"/>
        <v>1</v>
      </c>
      <c r="N8" s="13" t="str">
        <f t="shared" si="2"/>
        <v>Pass</v>
      </c>
    </row>
    <row r="9" spans="1:14" x14ac:dyDescent="0.15">
      <c r="A9" s="12" t="s">
        <v>127</v>
      </c>
      <c r="B9" s="8" t="s">
        <v>128</v>
      </c>
      <c r="C9" s="8" t="s">
        <v>96</v>
      </c>
      <c r="D9" s="13" t="s">
        <v>96</v>
      </c>
      <c r="E9" s="13">
        <f>COUNTIF(Checklist!$B$4:$B$39,$A9)</f>
        <v>1</v>
      </c>
      <c r="F9" s="13">
        <f>COUNTIFS(Checklist!$B$4:$B$39,$A9,Checklist!$J$4:$J$39,"&lt;&gt;Yes")</f>
        <v>1</v>
      </c>
      <c r="G9" s="13">
        <f>COUNTIFS(Checklist!$B$4:$B$39,$A9,Checklist!$K$4:$K$39,"Pass")</f>
        <v>1</v>
      </c>
      <c r="H9" s="13">
        <f>COUNTIFS(Checklist!$B$4:$B$39,$A9,Checklist!$K$4:$K$39,"Fail")+COUNTIFS(Checklist!$B$4:$B$39,$A9,Checklist!$K$4:$K$39,FALSE)</f>
        <v>0</v>
      </c>
      <c r="I9" s="13">
        <f>COUNTIFS(Checklist!$B$4:$B$39,$A9,Checklist!$K$4:$K$39,"Blocked")</f>
        <v>0</v>
      </c>
      <c r="J9" s="13">
        <f>COUNTIFS(Checklist!$B$4:$B$39,$A9,Checklist!$K$4:$K$39,"N/A")</f>
        <v>0</v>
      </c>
      <c r="K9" s="13">
        <f t="shared" si="0"/>
        <v>0</v>
      </c>
      <c r="L9" s="13">
        <f>F9-COUNTIFS(Checklist!$B$4:$B$39,$A9,Checklist!$J$4:$J$39,"&lt;&gt;Yes",Checklist!$K$4:$K$39,"Pass")-COUNTIFS(Checklist!$B$4:$B$39,$A9,Checklist!$J$4:$J$39,"&lt;&gt;Yes",Checklist!$K$4:$K$39,"N/A")</f>
        <v>0</v>
      </c>
      <c r="M9" s="14">
        <f t="shared" si="1"/>
        <v>1</v>
      </c>
      <c r="N9" s="13" t="str">
        <f t="shared" si="2"/>
        <v>Pass</v>
      </c>
    </row>
    <row r="10" spans="1:14" x14ac:dyDescent="0.15">
      <c r="A10" s="12" t="s">
        <v>133</v>
      </c>
      <c r="B10" s="8" t="s">
        <v>134</v>
      </c>
      <c r="C10" s="8" t="s">
        <v>135</v>
      </c>
      <c r="D10" s="13" t="s">
        <v>136</v>
      </c>
      <c r="E10" s="13">
        <f>COUNTIF(Checklist!$B$4:$B$39,$A10)</f>
        <v>4</v>
      </c>
      <c r="F10" s="13">
        <f>COUNTIFS(Checklist!$B$4:$B$39,$A10,Checklist!$J$4:$J$39,"&lt;&gt;Yes")</f>
        <v>4</v>
      </c>
      <c r="G10" s="13">
        <f>COUNTIFS(Checklist!$B$4:$B$39,$A10,Checklist!$K$4:$K$39,"Pass")</f>
        <v>4</v>
      </c>
      <c r="H10" s="13">
        <f>COUNTIFS(Checklist!$B$4:$B$39,$A10,Checklist!$K$4:$K$39,"Fail")+COUNTIFS(Checklist!$B$4:$B$39,$A10,Checklist!$K$4:$K$39,FALSE)</f>
        <v>0</v>
      </c>
      <c r="I10" s="13">
        <f>COUNTIFS(Checklist!$B$4:$B$39,$A10,Checklist!$K$4:$K$39,"Blocked")</f>
        <v>0</v>
      </c>
      <c r="J10" s="13">
        <f>COUNTIFS(Checklist!$B$4:$B$39,$A10,Checklist!$K$4:$K$39,"N/A")</f>
        <v>0</v>
      </c>
      <c r="K10" s="13">
        <f t="shared" si="0"/>
        <v>0</v>
      </c>
      <c r="L10" s="13">
        <f>F10-COUNTIFS(Checklist!$B$4:$B$39,$A10,Checklist!$J$4:$J$39,"&lt;&gt;Yes",Checklist!$K$4:$K$39,"Pass")-COUNTIFS(Checklist!$B$4:$B$39,$A10,Checklist!$J$4:$J$39,"&lt;&gt;Yes",Checklist!$K$4:$K$39,"N/A")</f>
        <v>0</v>
      </c>
      <c r="M10" s="14">
        <f t="shared" si="1"/>
        <v>1</v>
      </c>
      <c r="N10" s="13" t="str">
        <f t="shared" si="2"/>
        <v>Pass</v>
      </c>
    </row>
    <row r="11" spans="1:14" x14ac:dyDescent="0.15">
      <c r="A11" s="12" t="s">
        <v>149</v>
      </c>
      <c r="B11" s="8" t="s">
        <v>150</v>
      </c>
      <c r="C11" s="8" t="s">
        <v>135</v>
      </c>
      <c r="D11" s="13" t="s">
        <v>136</v>
      </c>
      <c r="E11" s="13">
        <f>COUNTIF(Checklist!$B$4:$B$39,$A11)</f>
        <v>1</v>
      </c>
      <c r="F11" s="13">
        <f>COUNTIFS(Checklist!$B$4:$B$39,$A11,Checklist!$J$4:$J$39,"&lt;&gt;Yes")</f>
        <v>0</v>
      </c>
      <c r="G11" s="13">
        <f>COUNTIFS(Checklist!$B$4:$B$39,$A11,Checklist!$K$4:$K$39,"Pass")</f>
        <v>1</v>
      </c>
      <c r="H11" s="13">
        <f>COUNTIFS(Checklist!$B$4:$B$39,$A11,Checklist!$K$4:$K$39,"Fail")+COUNTIFS(Checklist!$B$4:$B$39,$A11,Checklist!$K$4:$K$39,FALSE)</f>
        <v>0</v>
      </c>
      <c r="I11" s="13">
        <f>COUNTIFS(Checklist!$B$4:$B$39,$A11,Checklist!$K$4:$K$39,"Blocked")</f>
        <v>0</v>
      </c>
      <c r="J11" s="13">
        <f>COUNTIFS(Checklist!$B$4:$B$39,$A11,Checklist!$K$4:$K$39,"N/A")</f>
        <v>0</v>
      </c>
      <c r="K11" s="13">
        <f t="shared" si="0"/>
        <v>0</v>
      </c>
      <c r="L11" s="13">
        <f>F11-COUNTIFS(Checklist!$B$4:$B$39,$A11,Checklist!$J$4:$J$39,"&lt;&gt;Yes",Checklist!$K$4:$K$39,"Pass")-COUNTIFS(Checklist!$B$4:$B$39,$A11,Checklist!$J$4:$J$39,"&lt;&gt;Yes",Checklist!$K$4:$K$39,"N/A")</f>
        <v>0</v>
      </c>
      <c r="M11" s="14">
        <f t="shared" si="1"/>
        <v>1</v>
      </c>
      <c r="N11" s="13" t="str">
        <f t="shared" si="2"/>
        <v>Pass</v>
      </c>
    </row>
    <row r="12" spans="1:14" x14ac:dyDescent="0.15">
      <c r="A12" s="12" t="s">
        <v>154</v>
      </c>
      <c r="B12" s="8" t="s">
        <v>155</v>
      </c>
      <c r="C12" s="8" t="s">
        <v>135</v>
      </c>
      <c r="D12" s="13" t="s">
        <v>136</v>
      </c>
      <c r="E12" s="13">
        <f>COUNTIF(Checklist!$B$4:$B$39,$A12)</f>
        <v>1</v>
      </c>
      <c r="F12" s="13">
        <f>COUNTIFS(Checklist!$B$4:$B$39,$A12,Checklist!$J$4:$J$39,"&lt;&gt;Yes")</f>
        <v>0</v>
      </c>
      <c r="G12" s="13">
        <f>COUNTIFS(Checklist!$B$4:$B$39,$A12,Checklist!$K$4:$K$39,"Pass")</f>
        <v>1</v>
      </c>
      <c r="H12" s="13">
        <f>COUNTIFS(Checklist!$B$4:$B$39,$A12,Checklist!$K$4:$K$39,"Fail")+COUNTIFS(Checklist!$B$4:$B$39,$A12,Checklist!$K$4:$K$39,FALSE)</f>
        <v>0</v>
      </c>
      <c r="I12" s="13">
        <f>COUNTIFS(Checklist!$B$4:$B$39,$A12,Checklist!$K$4:$K$39,"Blocked")</f>
        <v>0</v>
      </c>
      <c r="J12" s="13">
        <f>COUNTIFS(Checklist!$B$4:$B$39,$A12,Checklist!$K$4:$K$39,"N/A")</f>
        <v>0</v>
      </c>
      <c r="K12" s="13">
        <f t="shared" si="0"/>
        <v>0</v>
      </c>
      <c r="L12" s="13">
        <f>F12-COUNTIFS(Checklist!$B$4:$B$39,$A12,Checklist!$J$4:$J$39,"&lt;&gt;Yes",Checklist!$K$4:$K$39,"Pass")-COUNTIFS(Checklist!$B$4:$B$39,$A12,Checklist!$J$4:$J$39,"&lt;&gt;Yes",Checklist!$K$4:$K$39,"N/A")</f>
        <v>0</v>
      </c>
      <c r="M12" s="14">
        <f t="shared" si="1"/>
        <v>1</v>
      </c>
      <c r="N12" s="13" t="str">
        <f t="shared" si="2"/>
        <v>Pass</v>
      </c>
    </row>
    <row r="13" spans="1:14" x14ac:dyDescent="0.15">
      <c r="A13" s="12" t="s">
        <v>160</v>
      </c>
      <c r="B13" s="8" t="s">
        <v>161</v>
      </c>
      <c r="C13" s="8" t="s">
        <v>162</v>
      </c>
      <c r="D13" s="13" t="s">
        <v>136</v>
      </c>
      <c r="E13" s="13">
        <f>COUNTIF(Checklist!$B$4:$B$39,$A13)</f>
        <v>3</v>
      </c>
      <c r="F13" s="13">
        <f>COUNTIFS(Checklist!$B$4:$B$39,$A13,Checklist!$J$4:$J$39,"&lt;&gt;Yes")</f>
        <v>3</v>
      </c>
      <c r="G13" s="13">
        <f>COUNTIFS(Checklist!$B$4:$B$39,$A13,Checklist!$K$4:$K$39,"Pass")</f>
        <v>3</v>
      </c>
      <c r="H13" s="13">
        <f>COUNTIFS(Checklist!$B$4:$B$39,$A13,Checklist!$K$4:$K$39,"Fail")+COUNTIFS(Checklist!$B$4:$B$39,$A13,Checklist!$K$4:$K$39,FALSE)</f>
        <v>0</v>
      </c>
      <c r="I13" s="13">
        <f>COUNTIFS(Checklist!$B$4:$B$39,$A13,Checklist!$K$4:$K$39,"Blocked")</f>
        <v>0</v>
      </c>
      <c r="J13" s="13">
        <f>COUNTIFS(Checklist!$B$4:$B$39,$A13,Checklist!$K$4:$K$39,"N/A")</f>
        <v>0</v>
      </c>
      <c r="K13" s="13">
        <f t="shared" si="0"/>
        <v>0</v>
      </c>
      <c r="L13" s="13">
        <f>F13-COUNTIFS(Checklist!$B$4:$B$39,$A13,Checklist!$J$4:$J$39,"&lt;&gt;Yes",Checklist!$K$4:$K$39,"Pass")-COUNTIFS(Checklist!$B$4:$B$39,$A13,Checklist!$J$4:$J$39,"&lt;&gt;Yes",Checklist!$K$4:$K$39,"N/A")</f>
        <v>0</v>
      </c>
      <c r="M13" s="14">
        <f t="shared" si="1"/>
        <v>1</v>
      </c>
      <c r="N13" s="13" t="str">
        <f t="shared" si="2"/>
        <v>Pass</v>
      </c>
    </row>
    <row r="14" spans="1:14" x14ac:dyDescent="0.15">
      <c r="A14" s="12" t="s">
        <v>177</v>
      </c>
      <c r="B14" s="8" t="s">
        <v>178</v>
      </c>
      <c r="C14" s="8" t="s">
        <v>179</v>
      </c>
      <c r="D14" s="13" t="s">
        <v>136</v>
      </c>
      <c r="E14" s="13">
        <f>COUNTIF(Checklist!$B$4:$B$39,$A14)</f>
        <v>4</v>
      </c>
      <c r="F14" s="13">
        <f>COUNTIFS(Checklist!$B$4:$B$39,$A14,Checklist!$J$4:$J$39,"&lt;&gt;Yes")</f>
        <v>3</v>
      </c>
      <c r="G14" s="13">
        <f>COUNTIFS(Checklist!$B$4:$B$39,$A14,Checklist!$K$4:$K$39,"Pass")</f>
        <v>4</v>
      </c>
      <c r="H14" s="13">
        <f>COUNTIFS(Checklist!$B$4:$B$39,$A14,Checklist!$K$4:$K$39,"Fail")+COUNTIFS(Checklist!$B$4:$B$39,$A14,Checklist!$K$4:$K$39,FALSE)</f>
        <v>0</v>
      </c>
      <c r="I14" s="13">
        <f>COUNTIFS(Checklist!$B$4:$B$39,$A14,Checklist!$K$4:$K$39,"Blocked")</f>
        <v>0</v>
      </c>
      <c r="J14" s="13">
        <f>COUNTIFS(Checklist!$B$4:$B$39,$A14,Checklist!$K$4:$K$39,"N/A")</f>
        <v>0</v>
      </c>
      <c r="K14" s="13">
        <f t="shared" si="0"/>
        <v>0</v>
      </c>
      <c r="L14" s="13">
        <f>F14-COUNTIFS(Checklist!$B$4:$B$39,$A14,Checklist!$J$4:$J$39,"&lt;&gt;Yes",Checklist!$K$4:$K$39,"Pass")-COUNTIFS(Checklist!$B$4:$B$39,$A14,Checklist!$J$4:$J$39,"&lt;&gt;Yes",Checklist!$K$4:$K$39,"N/A")</f>
        <v>0</v>
      </c>
      <c r="M14" s="14">
        <f t="shared" si="1"/>
        <v>1</v>
      </c>
      <c r="N14" s="13" t="str">
        <f t="shared" si="2"/>
        <v>Pass</v>
      </c>
    </row>
    <row r="15" spans="1:14" x14ac:dyDescent="0.15">
      <c r="A15" s="12" t="s">
        <v>193</v>
      </c>
      <c r="B15" s="8" t="s">
        <v>194</v>
      </c>
      <c r="C15" s="8" t="s">
        <v>195</v>
      </c>
      <c r="D15" s="13" t="s">
        <v>196</v>
      </c>
      <c r="E15" s="13">
        <f>COUNTIF(Checklist!$B$4:$B$39,$A15)</f>
        <v>3</v>
      </c>
      <c r="F15" s="13">
        <f>COUNTIFS(Checklist!$B$4:$B$39,$A15,Checklist!$J$4:$J$39,"&lt;&gt;Yes")</f>
        <v>0</v>
      </c>
      <c r="G15" s="13">
        <f>COUNTIFS(Checklist!$B$4:$B$39,$A15,Checklist!$K$4:$K$39,"Pass")</f>
        <v>3</v>
      </c>
      <c r="H15" s="13">
        <f>COUNTIFS(Checklist!$B$4:$B$39,$A15,Checklist!$K$4:$K$39,"Fail")+COUNTIFS(Checklist!$B$4:$B$39,$A15,Checklist!$K$4:$K$39,FALSE)</f>
        <v>0</v>
      </c>
      <c r="I15" s="13">
        <f>COUNTIFS(Checklist!$B$4:$B$39,$A15,Checklist!$K$4:$K$39,"Blocked")</f>
        <v>0</v>
      </c>
      <c r="J15" s="13">
        <f>COUNTIFS(Checklist!$B$4:$B$39,$A15,Checklist!$K$4:$K$39,"N/A")</f>
        <v>0</v>
      </c>
      <c r="K15" s="13">
        <f t="shared" si="0"/>
        <v>0</v>
      </c>
      <c r="L15" s="13">
        <f>F15-COUNTIFS(Checklist!$B$4:$B$39,$A15,Checklist!$J$4:$J$39,"&lt;&gt;Yes",Checklist!$K$4:$K$39,"Pass")-COUNTIFS(Checklist!$B$4:$B$39,$A15,Checklist!$J$4:$J$39,"&lt;&gt;Yes",Checklist!$K$4:$K$39,"N/A")</f>
        <v>0</v>
      </c>
      <c r="M15" s="14">
        <f t="shared" si="1"/>
        <v>1</v>
      </c>
      <c r="N15" s="13" t="str">
        <f t="shared" si="2"/>
        <v>Pass</v>
      </c>
    </row>
    <row r="16" spans="1:14" x14ac:dyDescent="0.15">
      <c r="A16" s="12" t="s">
        <v>207</v>
      </c>
      <c r="B16" s="8" t="s">
        <v>208</v>
      </c>
      <c r="C16" s="8" t="s">
        <v>209</v>
      </c>
      <c r="D16" s="13" t="s">
        <v>210</v>
      </c>
      <c r="E16" s="13">
        <f>COUNTIF(Checklist!$B$4:$B$39,$A16)</f>
        <v>3</v>
      </c>
      <c r="F16" s="13">
        <f>COUNTIFS(Checklist!$B$4:$B$39,$A16,Checklist!$J$4:$J$39,"&lt;&gt;Yes")</f>
        <v>3</v>
      </c>
      <c r="G16" s="13">
        <f>COUNTIFS(Checklist!$B$4:$B$39,$A16,Checklist!$K$4:$K$39,"Pass")</f>
        <v>3</v>
      </c>
      <c r="H16" s="13">
        <f>COUNTIFS(Checklist!$B$4:$B$39,$A16,Checklist!$K$4:$K$39,"Fail")+COUNTIFS(Checklist!$B$4:$B$39,$A16,Checklist!$K$4:$K$39,FALSE)</f>
        <v>0</v>
      </c>
      <c r="I16" s="13">
        <f>COUNTIFS(Checklist!$B$4:$B$39,$A16,Checklist!$K$4:$K$39,"Blocked")</f>
        <v>0</v>
      </c>
      <c r="J16" s="13">
        <f>COUNTIFS(Checklist!$B$4:$B$39,$A16,Checklist!$K$4:$K$39,"N/A")</f>
        <v>0</v>
      </c>
      <c r="K16" s="13">
        <f t="shared" si="0"/>
        <v>0</v>
      </c>
      <c r="L16" s="13">
        <f>F16-COUNTIFS(Checklist!$B$4:$B$39,$A16,Checklist!$J$4:$J$39,"&lt;&gt;Yes",Checklist!$K$4:$K$39,"Pass")-COUNTIFS(Checklist!$B$4:$B$39,$A16,Checklist!$J$4:$J$39,"&lt;&gt;Yes",Checklist!$K$4:$K$39,"N/A")</f>
        <v>0</v>
      </c>
      <c r="M16" s="14">
        <f t="shared" si="1"/>
        <v>1</v>
      </c>
      <c r="N16" s="13" t="str">
        <f t="shared" si="2"/>
        <v>Pass</v>
      </c>
    </row>
    <row r="17" spans="1:14" x14ac:dyDescent="0.15">
      <c r="A17" s="12" t="s">
        <v>222</v>
      </c>
      <c r="B17" s="8" t="s">
        <v>223</v>
      </c>
      <c r="C17" s="8" t="s">
        <v>210</v>
      </c>
      <c r="D17" s="13" t="s">
        <v>98</v>
      </c>
      <c r="E17" s="13">
        <f>COUNTIF(Checklist!$B$4:$B$39,$A17)</f>
        <v>2</v>
      </c>
      <c r="F17" s="13">
        <f>COUNTIFS(Checklist!$B$4:$B$39,$A17,Checklist!$J$4:$J$39,"&lt;&gt;Yes")</f>
        <v>1</v>
      </c>
      <c r="G17" s="13">
        <f>COUNTIFS(Checklist!$B$4:$B$39,$A17,Checklist!$K$4:$K$39,"Pass")</f>
        <v>2</v>
      </c>
      <c r="H17" s="13">
        <f>COUNTIFS(Checklist!$B$4:$B$39,$A17,Checklist!$K$4:$K$39,"Fail")+COUNTIFS(Checklist!$B$4:$B$39,$A17,Checklist!$K$4:$K$39,FALSE)</f>
        <v>0</v>
      </c>
      <c r="I17" s="13">
        <f>COUNTIFS(Checklist!$B$4:$B$39,$A17,Checklist!$K$4:$K$39,"Blocked")</f>
        <v>0</v>
      </c>
      <c r="J17" s="13">
        <f>COUNTIFS(Checklist!$B$4:$B$39,$A17,Checklist!$K$4:$K$39,"N/A")</f>
        <v>0</v>
      </c>
      <c r="K17" s="13">
        <f t="shared" si="0"/>
        <v>0</v>
      </c>
      <c r="L17" s="13">
        <f>F17-COUNTIFS(Checklist!$B$4:$B$39,$A17,Checklist!$J$4:$J$39,"&lt;&gt;Yes",Checklist!$K$4:$K$39,"Pass")-COUNTIFS(Checklist!$B$4:$B$39,$A17,Checklist!$J$4:$J$39,"&lt;&gt;Yes",Checklist!$K$4:$K$39,"N/A")</f>
        <v>0</v>
      </c>
      <c r="M17" s="14">
        <f t="shared" si="1"/>
        <v>1</v>
      </c>
      <c r="N17" s="13" t="str">
        <f t="shared" si="2"/>
        <v>Pass</v>
      </c>
    </row>
    <row r="18" spans="1:14" ht="14.25" customHeight="1" x14ac:dyDescent="0.15"/>
    <row r="19" spans="1:14" ht="14.25" x14ac:dyDescent="0.2">
      <c r="A19" s="15" t="s">
        <v>210</v>
      </c>
      <c r="B19" s="15" t="s">
        <v>237</v>
      </c>
      <c r="E19" s="16">
        <f t="shared" ref="E19:L19" si="3">SUM(E5:E17)</f>
        <v>28</v>
      </c>
      <c r="F19" s="16">
        <f t="shared" si="3"/>
        <v>20</v>
      </c>
      <c r="G19" s="16">
        <f t="shared" si="3"/>
        <v>28</v>
      </c>
      <c r="H19" s="16">
        <f t="shared" si="3"/>
        <v>0</v>
      </c>
      <c r="I19" s="16">
        <f t="shared" si="3"/>
        <v>0</v>
      </c>
      <c r="J19" s="16">
        <f t="shared" si="3"/>
        <v>0</v>
      </c>
      <c r="K19" s="16">
        <f t="shared" si="3"/>
        <v>0</v>
      </c>
      <c r="L19" s="16">
        <f t="shared" si="3"/>
        <v>0</v>
      </c>
      <c r="M19" s="17">
        <f>IF(E19=0,0,(G19+H19+I19+J19)/E19)</f>
        <v>1</v>
      </c>
      <c r="N19" s="16" t="str">
        <f>IF(H19&gt;0,"Fail",IF(I19&gt;0,"Blocked",IF(L19=0,"Pass",IF(G19+J19=0,"Not started","In progress"))))</f>
        <v>Pass</v>
      </c>
    </row>
    <row r="24" spans="1:14" ht="14.25" customHeight="1" x14ac:dyDescent="0.15"/>
  </sheetData>
  <phoneticPr fontId="9"/>
  <conditionalFormatting sqref="N5:N19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"In progress"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/>
  </sheetViews>
  <sheetFormatPr defaultRowHeight="13.5" x14ac:dyDescent="0.15"/>
  <cols>
    <col min="1" max="1" width="70" customWidth="1"/>
    <col min="2" max="2" width="12" customWidth="1"/>
    <col min="3" max="3" width="62" customWidth="1"/>
  </cols>
  <sheetData>
    <row r="1" spans="1:3" ht="18" customHeight="1" x14ac:dyDescent="0.25">
      <c r="A1" s="4" t="s">
        <v>238</v>
      </c>
    </row>
    <row r="3" spans="1:3" ht="15" x14ac:dyDescent="0.25">
      <c r="A3" s="18" t="s">
        <v>239</v>
      </c>
    </row>
    <row r="4" spans="1:3" ht="14.25" x14ac:dyDescent="0.2">
      <c r="A4" s="19" t="s">
        <v>240</v>
      </c>
      <c r="B4" s="19" t="s">
        <v>78</v>
      </c>
      <c r="C4" s="19" t="s">
        <v>241</v>
      </c>
    </row>
    <row r="5" spans="1:3" ht="44.45" customHeight="1" x14ac:dyDescent="0.15">
      <c r="A5" s="8" t="s">
        <v>242</v>
      </c>
      <c r="B5" s="8" t="s">
        <v>243</v>
      </c>
      <c r="C5" s="8" t="s">
        <v>244</v>
      </c>
    </row>
    <row r="6" spans="1:3" ht="30.95" customHeight="1" x14ac:dyDescent="0.15">
      <c r="A6" s="8" t="s">
        <v>245</v>
      </c>
      <c r="B6" s="8" t="s">
        <v>246</v>
      </c>
      <c r="C6" s="8" t="s">
        <v>247</v>
      </c>
    </row>
    <row r="7" spans="1:3" ht="30.95" customHeight="1" x14ac:dyDescent="0.15">
      <c r="A7" s="8" t="s">
        <v>248</v>
      </c>
      <c r="B7" s="8" t="s">
        <v>249</v>
      </c>
      <c r="C7" s="8" t="s">
        <v>250</v>
      </c>
    </row>
    <row r="8" spans="1:3" ht="30.95" customHeight="1" x14ac:dyDescent="0.15">
      <c r="A8" s="8" t="s">
        <v>251</v>
      </c>
      <c r="B8" s="8" t="s">
        <v>252</v>
      </c>
      <c r="C8" s="8" t="s">
        <v>253</v>
      </c>
    </row>
    <row r="9" spans="1:3" ht="30.95" customHeight="1" x14ac:dyDescent="0.15">
      <c r="A9" s="8" t="s">
        <v>254</v>
      </c>
      <c r="B9" s="8" t="s">
        <v>162</v>
      </c>
      <c r="C9" s="8" t="s">
        <v>255</v>
      </c>
    </row>
    <row r="10" spans="1:3" ht="30.95" customHeight="1" x14ac:dyDescent="0.15">
      <c r="A10" s="8" t="s">
        <v>256</v>
      </c>
      <c r="B10" s="8" t="s">
        <v>257</v>
      </c>
      <c r="C10" s="8" t="s">
        <v>258</v>
      </c>
    </row>
    <row r="11" spans="1:3" ht="30.95" customHeight="1" x14ac:dyDescent="0.15">
      <c r="A11" s="8" t="s">
        <v>259</v>
      </c>
      <c r="B11" s="8" t="s">
        <v>98</v>
      </c>
      <c r="C11" s="8" t="s">
        <v>260</v>
      </c>
    </row>
    <row r="12" spans="1:3" ht="30.95" customHeight="1" x14ac:dyDescent="0.15">
      <c r="A12" s="8" t="s">
        <v>261</v>
      </c>
      <c r="B12" s="8" t="s">
        <v>262</v>
      </c>
      <c r="C12" s="8" t="s">
        <v>263</v>
      </c>
    </row>
    <row r="13" spans="1:3" ht="30.95" customHeight="1" x14ac:dyDescent="0.15">
      <c r="A13" s="8" t="s">
        <v>264</v>
      </c>
      <c r="B13" s="8" t="s">
        <v>195</v>
      </c>
      <c r="C13" s="8" t="s">
        <v>265</v>
      </c>
    </row>
    <row r="14" spans="1:3" ht="30.95" customHeight="1" x14ac:dyDescent="0.15">
      <c r="A14" s="8" t="s">
        <v>266</v>
      </c>
      <c r="B14" s="8" t="s">
        <v>267</v>
      </c>
      <c r="C14" s="8" t="s">
        <v>268</v>
      </c>
    </row>
    <row r="15" spans="1:3" ht="30.95" customHeight="1" x14ac:dyDescent="0.15">
      <c r="A15" s="8" t="s">
        <v>269</v>
      </c>
      <c r="B15" s="8" t="s">
        <v>270</v>
      </c>
      <c r="C15" s="8" t="s">
        <v>271</v>
      </c>
    </row>
    <row r="16" spans="1:3" ht="30.95" customHeight="1" x14ac:dyDescent="0.15">
      <c r="A16" s="8" t="s">
        <v>272</v>
      </c>
      <c r="B16" s="8" t="s">
        <v>273</v>
      </c>
      <c r="C16" s="8" t="s">
        <v>274</v>
      </c>
    </row>
    <row r="18" spans="1:3" ht="15" x14ac:dyDescent="0.25">
      <c r="A18" s="18" t="s">
        <v>275</v>
      </c>
    </row>
    <row r="19" spans="1:3" ht="14.25" x14ac:dyDescent="0.2">
      <c r="A19" s="19" t="s">
        <v>240</v>
      </c>
      <c r="B19" s="19" t="s">
        <v>78</v>
      </c>
      <c r="C19" s="19" t="s">
        <v>276</v>
      </c>
    </row>
    <row r="20" spans="1:3" ht="30.95" customHeight="1" x14ac:dyDescent="0.15">
      <c r="A20" s="8" t="s">
        <v>277</v>
      </c>
      <c r="B20" s="8" t="s">
        <v>96</v>
      </c>
      <c r="C20" s="8" t="s">
        <v>278</v>
      </c>
    </row>
    <row r="21" spans="1:3" ht="17.45" customHeight="1" x14ac:dyDescent="0.15">
      <c r="A21" s="8" t="s">
        <v>279</v>
      </c>
      <c r="B21" s="8" t="s">
        <v>135</v>
      </c>
      <c r="C21" s="8" t="s">
        <v>280</v>
      </c>
    </row>
    <row r="22" spans="1:3" ht="17.45" customHeight="1" x14ac:dyDescent="0.15">
      <c r="A22" s="8" t="s">
        <v>281</v>
      </c>
      <c r="B22" s="8" t="s">
        <v>162</v>
      </c>
      <c r="C22" s="8" t="s">
        <v>282</v>
      </c>
    </row>
    <row r="23" spans="1:3" ht="30.95" customHeight="1" x14ac:dyDescent="0.15">
      <c r="A23" s="8" t="s">
        <v>283</v>
      </c>
      <c r="B23" s="8" t="s">
        <v>179</v>
      </c>
      <c r="C23" s="8" t="s">
        <v>177</v>
      </c>
    </row>
    <row r="25" spans="1:3" ht="15" x14ac:dyDescent="0.25">
      <c r="A25" s="18" t="s">
        <v>284</v>
      </c>
    </row>
    <row r="26" spans="1:3" ht="14.25" x14ac:dyDescent="0.2">
      <c r="A26" s="19" t="s">
        <v>285</v>
      </c>
      <c r="B26" s="19" t="s">
        <v>286</v>
      </c>
      <c r="C26" s="19" t="s">
        <v>287</v>
      </c>
    </row>
    <row r="27" spans="1:3" x14ac:dyDescent="0.15">
      <c r="A27" s="20"/>
      <c r="B27" s="20"/>
      <c r="C27" s="20"/>
    </row>
    <row r="28" spans="1:3" x14ac:dyDescent="0.15">
      <c r="A28" s="20"/>
      <c r="B28" s="20"/>
      <c r="C28" s="20"/>
    </row>
    <row r="29" spans="1:3" x14ac:dyDescent="0.15">
      <c r="A29" s="20"/>
      <c r="B29" s="20"/>
      <c r="C29" s="20"/>
    </row>
    <row r="30" spans="1:3" x14ac:dyDescent="0.15">
      <c r="A30" s="20"/>
      <c r="B30" s="20"/>
      <c r="C30" s="20"/>
    </row>
    <row r="31" spans="1:3" x14ac:dyDescent="0.15">
      <c r="A31" s="20"/>
      <c r="B31" s="20"/>
      <c r="C31" s="20"/>
    </row>
    <row r="32" spans="1:3" x14ac:dyDescent="0.15">
      <c r="A32" s="20"/>
      <c r="B32" s="20"/>
      <c r="C32" s="20"/>
    </row>
    <row r="33" spans="1:3" x14ac:dyDescent="0.15">
      <c r="A33" s="20"/>
      <c r="B33" s="20"/>
      <c r="C33" s="20"/>
    </row>
    <row r="34" spans="1:3" x14ac:dyDescent="0.15">
      <c r="A34" s="20"/>
      <c r="B34" s="20"/>
      <c r="C34" s="20"/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Read me</vt:lpstr>
      <vt:lpstr>Checklist</vt:lpstr>
      <vt:lpstr>Summary</vt:lpstr>
      <vt:lpstr>Known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コンスタンティン ミハイロフ</cp:lastModifiedBy>
  <dcterms:created xsi:type="dcterms:W3CDTF">2026-10-22T16:20:35Z</dcterms:created>
  <dcterms:modified xsi:type="dcterms:W3CDTF">2026-10-28T02:18:27Z</dcterms:modified>
</cp:coreProperties>
</file>